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defaultThemeVersion="124226"/>
  <mc:AlternateContent xmlns:mc="http://schemas.openxmlformats.org/markup-compatibility/2006">
    <mc:Choice Requires="x15">
      <x15ac:absPath xmlns:x15ac="http://schemas.microsoft.com/office/spreadsheetml/2010/11/ac" url="C:\Users\Javad\Downloads\"/>
    </mc:Choice>
  </mc:AlternateContent>
  <xr:revisionPtr revIDLastSave="0" documentId="13_ncr:1_{D3D98340-43F4-47E2-8E0A-1AB948AC884B}" xr6:coauthVersionLast="36" xr6:coauthVersionMax="47" xr10:uidLastSave="{00000000-0000-0000-0000-000000000000}"/>
  <bookViews>
    <workbookView xWindow="0" yWindow="0" windowWidth="23040" windowHeight="8940" tabRatio="756" activeTab="1" xr2:uid="{00000000-000D-0000-FFFF-FFFF00000000}"/>
  </bookViews>
  <sheets>
    <sheet name="Content" sheetId="26" r:id="rId1"/>
    <sheet name="Q1" sheetId="13" r:id="rId2"/>
    <sheet name="Q2" sheetId="30" r:id="rId3"/>
    <sheet name="Q3" sheetId="16" r:id="rId4"/>
    <sheet name="Q4" sheetId="17" r:id="rId5"/>
    <sheet name="Q5" sheetId="10" r:id="rId6"/>
    <sheet name="Q6 &amp; Q7" sheetId="11" r:id="rId7"/>
    <sheet name="Q8" sheetId="12" r:id="rId8"/>
    <sheet name="Q9" sheetId="18" r:id="rId9"/>
    <sheet name="Q10" sheetId="19" r:id="rId10"/>
    <sheet name="Q11" sheetId="20" r:id="rId11"/>
    <sheet name="Q12" sheetId="29" r:id="rId12"/>
    <sheet name="Q13" sheetId="27" r:id="rId13"/>
    <sheet name="Q14" sheetId="28" r:id="rId14"/>
    <sheet name="test" sheetId="31" r:id="rId15"/>
  </sheets>
  <calcPr calcId="191029"/>
</workbook>
</file>

<file path=xl/calcChain.xml><?xml version="1.0" encoding="utf-8"?>
<calcChain xmlns="http://schemas.openxmlformats.org/spreadsheetml/2006/main">
  <c r="E39" i="13" l="1"/>
  <c r="B4" i="31"/>
  <c r="I15" i="30" l="1"/>
  <c r="R11" i="30"/>
  <c r="P11" i="30"/>
  <c r="M11" i="30"/>
  <c r="J11" i="30"/>
  <c r="T10" i="30"/>
  <c r="S10" i="30"/>
  <c r="S11" i="30" s="1"/>
  <c r="R10" i="30"/>
  <c r="Q10" i="30"/>
  <c r="Q11" i="30" s="1"/>
  <c r="P10" i="30"/>
  <c r="O10" i="30"/>
  <c r="O11" i="30" s="1"/>
  <c r="N10" i="30"/>
  <c r="N11" i="30" s="1"/>
  <c r="M10" i="30"/>
  <c r="L10" i="30"/>
  <c r="L11" i="30" s="1"/>
  <c r="K10" i="30"/>
  <c r="J10" i="30"/>
  <c r="I10" i="30"/>
  <c r="H10" i="30"/>
  <c r="G10" i="30"/>
  <c r="F10" i="30" s="1"/>
  <c r="T9" i="30"/>
  <c r="T11" i="30" s="1"/>
  <c r="K8" i="30"/>
  <c r="K11" i="30" s="1"/>
  <c r="J8" i="30"/>
  <c r="I8" i="30"/>
  <c r="H8" i="30"/>
  <c r="H11" i="30" s="1"/>
  <c r="G8" i="30"/>
  <c r="I7" i="30"/>
  <c r="I11" i="30" s="1"/>
  <c r="H7" i="30"/>
  <c r="G7" i="30"/>
  <c r="G11" i="30" s="1"/>
  <c r="F7" i="30"/>
  <c r="F11" i="30" s="1"/>
  <c r="E17" i="30" s="1"/>
  <c r="I12" i="29" l="1"/>
  <c r="I14" i="29" s="1"/>
  <c r="H11" i="29"/>
  <c r="H14" i="29" s="1"/>
  <c r="B8" i="29"/>
  <c r="G11" i="29" s="1"/>
  <c r="G14" i="29" s="1"/>
  <c r="J12" i="29" l="1"/>
  <c r="F11" i="29"/>
  <c r="F14" i="29" s="1"/>
  <c r="M13" i="29"/>
  <c r="J14" i="29" l="1"/>
  <c r="K12" i="29"/>
  <c r="L12" i="29" l="1"/>
  <c r="K14" i="29"/>
  <c r="L14" i="29" l="1"/>
  <c r="F17" i="29" s="1"/>
  <c r="M12" i="29"/>
  <c r="M14" i="29" s="1"/>
  <c r="F12" i="28" l="1"/>
  <c r="E12" i="28"/>
  <c r="D12" i="28"/>
  <c r="C12" i="28"/>
  <c r="F8" i="28"/>
  <c r="G8" i="28" s="1"/>
  <c r="B5" i="28"/>
  <c r="C8" i="28" s="1"/>
  <c r="F26" i="27"/>
  <c r="E26" i="27"/>
  <c r="G25" i="27"/>
  <c r="H25" i="27" s="1"/>
  <c r="D20" i="27"/>
  <c r="D17" i="27"/>
  <c r="E17" i="27" s="1"/>
  <c r="F17" i="27" s="1"/>
  <c r="G17" i="27" s="1"/>
  <c r="H17" i="27" s="1"/>
  <c r="B6" i="27"/>
  <c r="C10" i="28" l="1"/>
  <c r="H8" i="28"/>
  <c r="H12" i="28" s="1"/>
  <c r="G12" i="28"/>
  <c r="B13" i="28"/>
  <c r="B16" i="28" s="1"/>
  <c r="H26" i="27"/>
  <c r="I25" i="27"/>
  <c r="G26" i="27"/>
  <c r="B13" i="27"/>
  <c r="C9" i="27"/>
  <c r="C17" i="27"/>
  <c r="I26" i="27" l="1"/>
  <c r="J25" i="27"/>
  <c r="J26" i="27" s="1"/>
  <c r="E27" i="27"/>
  <c r="D9" i="27"/>
  <c r="E9" i="27" s="1"/>
  <c r="F9" i="27" s="1"/>
  <c r="G9" i="27" s="1"/>
  <c r="H9" i="27" s="1"/>
  <c r="B10" i="27" l="1"/>
  <c r="J20" i="13" l="1"/>
  <c r="K20" i="13" s="1"/>
  <c r="L20" i="13" s="1"/>
  <c r="I20" i="13"/>
  <c r="I16" i="19" l="1"/>
  <c r="B16" i="19"/>
  <c r="B15" i="19"/>
  <c r="F15" i="19" s="1"/>
  <c r="F11" i="12"/>
  <c r="I10" i="12"/>
  <c r="E14" i="18"/>
  <c r="H27" i="11"/>
  <c r="G27" i="11"/>
  <c r="G7" i="11"/>
  <c r="I15" i="11"/>
  <c r="H8" i="11" s="1"/>
  <c r="F7" i="11"/>
  <c r="I23" i="20" l="1"/>
  <c r="I19" i="20"/>
  <c r="B18" i="18"/>
  <c r="F28" i="11"/>
  <c r="F10" i="11"/>
  <c r="F11" i="11" s="1"/>
  <c r="H7" i="11"/>
  <c r="E15" i="17"/>
  <c r="D10" i="16"/>
  <c r="I12" i="13"/>
  <c r="I10" i="13"/>
  <c r="G10" i="11" l="1"/>
  <c r="J23" i="20" l="1"/>
  <c r="I22" i="20"/>
  <c r="I21" i="20"/>
  <c r="I20" i="20"/>
  <c r="I24" i="20" s="1"/>
  <c r="F18" i="20" l="1"/>
  <c r="F24" i="20" s="1"/>
  <c r="G18" i="20"/>
  <c r="H18" i="20"/>
  <c r="J19" i="20"/>
  <c r="K19" i="20"/>
  <c r="L19" i="20"/>
  <c r="M19" i="20"/>
  <c r="M24" i="20" s="1"/>
  <c r="N19" i="20"/>
  <c r="O19" i="20"/>
  <c r="P19" i="20"/>
  <c r="Q19" i="20"/>
  <c r="R19" i="20"/>
  <c r="S19" i="20"/>
  <c r="T19" i="20"/>
  <c r="U19" i="20"/>
  <c r="U24" i="20" s="1"/>
  <c r="V19" i="20"/>
  <c r="W19" i="20"/>
  <c r="X19" i="20"/>
  <c r="Y19" i="20"/>
  <c r="Z19" i="20"/>
  <c r="Z24" i="20" s="1"/>
  <c r="AA19" i="20"/>
  <c r="AB19" i="20"/>
  <c r="J20" i="20"/>
  <c r="J24" i="20" s="1"/>
  <c r="K20" i="20"/>
  <c r="L20" i="20"/>
  <c r="M20" i="20"/>
  <c r="N20" i="20"/>
  <c r="O20" i="20"/>
  <c r="P20" i="20"/>
  <c r="Q20" i="20"/>
  <c r="R20" i="20"/>
  <c r="R24" i="20" s="1"/>
  <c r="S20" i="20"/>
  <c r="T20" i="20"/>
  <c r="U20" i="20"/>
  <c r="V20" i="20"/>
  <c r="W20" i="20"/>
  <c r="X20" i="20"/>
  <c r="Y20" i="20"/>
  <c r="Z20" i="20"/>
  <c r="AA20" i="20"/>
  <c r="AB20" i="20"/>
  <c r="J21" i="20"/>
  <c r="K21" i="20"/>
  <c r="L21" i="20"/>
  <c r="M21" i="20"/>
  <c r="N21" i="20"/>
  <c r="N24" i="20" s="1"/>
  <c r="O21" i="20"/>
  <c r="P21" i="20"/>
  <c r="Q21" i="20"/>
  <c r="R21" i="20"/>
  <c r="S21" i="20"/>
  <c r="T21" i="20"/>
  <c r="U21" i="20"/>
  <c r="V21" i="20"/>
  <c r="W21" i="20"/>
  <c r="X21" i="20"/>
  <c r="Y21" i="20"/>
  <c r="Z21" i="20"/>
  <c r="AA21" i="20"/>
  <c r="AB21" i="20"/>
  <c r="J22" i="20"/>
  <c r="K22" i="20"/>
  <c r="L22" i="20"/>
  <c r="M22" i="20"/>
  <c r="N22" i="20"/>
  <c r="O22" i="20"/>
  <c r="P22" i="20"/>
  <c r="Q22" i="20"/>
  <c r="R22" i="20"/>
  <c r="S22" i="20"/>
  <c r="T22" i="20"/>
  <c r="U22" i="20"/>
  <c r="V22" i="20"/>
  <c r="W22" i="20"/>
  <c r="X22" i="20"/>
  <c r="Y22" i="20"/>
  <c r="Z22" i="20"/>
  <c r="AA22" i="20"/>
  <c r="AB22" i="20"/>
  <c r="K23" i="20"/>
  <c r="L23" i="20"/>
  <c r="M23" i="20"/>
  <c r="N23" i="20"/>
  <c r="O23" i="20"/>
  <c r="P23" i="20"/>
  <c r="Q23" i="20"/>
  <c r="R23" i="20"/>
  <c r="S23" i="20"/>
  <c r="T23" i="20"/>
  <c r="U23" i="20"/>
  <c r="V23" i="20"/>
  <c r="W23" i="20"/>
  <c r="X23" i="20"/>
  <c r="Y23" i="20"/>
  <c r="Z23" i="20"/>
  <c r="AA23" i="20"/>
  <c r="AB23" i="20"/>
  <c r="G24" i="20"/>
  <c r="H24" i="20"/>
  <c r="V24" i="20"/>
  <c r="I17" i="19"/>
  <c r="J16" i="19"/>
  <c r="J17" i="19" s="1"/>
  <c r="K16" i="19"/>
  <c r="K17" i="19" s="1"/>
  <c r="L16" i="19"/>
  <c r="L17" i="19" s="1"/>
  <c r="M16" i="19"/>
  <c r="N16" i="19"/>
  <c r="N17" i="19" s="1"/>
  <c r="O16" i="19"/>
  <c r="O17" i="19" s="1"/>
  <c r="P16" i="19"/>
  <c r="P17" i="19" s="1"/>
  <c r="Q16" i="19"/>
  <c r="Q17" i="19" s="1"/>
  <c r="R16" i="19"/>
  <c r="R17" i="19" s="1"/>
  <c r="S16" i="19"/>
  <c r="S17" i="19" s="1"/>
  <c r="T16" i="19"/>
  <c r="T17" i="19" s="1"/>
  <c r="U16" i="19"/>
  <c r="U17" i="19" s="1"/>
  <c r="V16" i="19"/>
  <c r="V17" i="19" s="1"/>
  <c r="W16" i="19"/>
  <c r="W17" i="19" s="1"/>
  <c r="X16" i="19"/>
  <c r="X17" i="19" s="1"/>
  <c r="Y16" i="19"/>
  <c r="Y17" i="19" s="1"/>
  <c r="Z16" i="19"/>
  <c r="Z17" i="19" s="1"/>
  <c r="AA16" i="19"/>
  <c r="AA17" i="19" s="1"/>
  <c r="AB16" i="19"/>
  <c r="AB17" i="19" s="1"/>
  <c r="M17" i="19"/>
  <c r="B12" i="18"/>
  <c r="B15" i="18" s="1"/>
  <c r="B17" i="18" s="1"/>
  <c r="C12" i="18"/>
  <c r="D12" i="18"/>
  <c r="E13" i="18"/>
  <c r="E15" i="18" s="1"/>
  <c r="E17" i="18" s="1"/>
  <c r="F13" i="18"/>
  <c r="G13" i="18"/>
  <c r="H13" i="18"/>
  <c r="I13" i="18"/>
  <c r="J13" i="18"/>
  <c r="K13" i="18"/>
  <c r="L13" i="18"/>
  <c r="M13" i="18"/>
  <c r="N13" i="18"/>
  <c r="O13" i="18"/>
  <c r="P13" i="18"/>
  <c r="Q13" i="18"/>
  <c r="R13" i="18"/>
  <c r="S13" i="18"/>
  <c r="T13" i="18"/>
  <c r="U13" i="18"/>
  <c r="F14" i="18"/>
  <c r="F15" i="18" s="1"/>
  <c r="F17" i="18" s="1"/>
  <c r="G14" i="18"/>
  <c r="G15" i="18" s="1"/>
  <c r="G17" i="18" s="1"/>
  <c r="H14" i="18"/>
  <c r="H15" i="18" s="1"/>
  <c r="H17" i="18" s="1"/>
  <c r="I14" i="18"/>
  <c r="J14" i="18"/>
  <c r="J15" i="18" s="1"/>
  <c r="J17" i="18" s="1"/>
  <c r="K14" i="18"/>
  <c r="L14" i="18"/>
  <c r="L15" i="18" s="1"/>
  <c r="L17" i="18" s="1"/>
  <c r="M14" i="18"/>
  <c r="N14" i="18"/>
  <c r="N15" i="18" s="1"/>
  <c r="N17" i="18" s="1"/>
  <c r="O14" i="18"/>
  <c r="O15" i="18" s="1"/>
  <c r="O17" i="18" s="1"/>
  <c r="P14" i="18"/>
  <c r="P15" i="18" s="1"/>
  <c r="P17" i="18" s="1"/>
  <c r="Q14" i="18"/>
  <c r="R14" i="18"/>
  <c r="R15" i="18" s="1"/>
  <c r="R17" i="18" s="1"/>
  <c r="S14" i="18"/>
  <c r="T14" i="18"/>
  <c r="U14" i="18"/>
  <c r="C15" i="18"/>
  <c r="C17" i="18" s="1"/>
  <c r="D15" i="18"/>
  <c r="D17" i="18" s="1"/>
  <c r="K15" i="18"/>
  <c r="K17" i="18" s="1"/>
  <c r="S15" i="18"/>
  <c r="S17" i="18" s="1"/>
  <c r="T15" i="18"/>
  <c r="T17" i="18" s="1"/>
  <c r="AB24" i="20" l="1"/>
  <c r="T24" i="20"/>
  <c r="L24" i="20"/>
  <c r="AA24" i="20"/>
  <c r="K24" i="20"/>
  <c r="F28" i="20"/>
  <c r="U15" i="18"/>
  <c r="U17" i="18" s="1"/>
  <c r="M15" i="18"/>
  <c r="M17" i="18" s="1"/>
  <c r="Q15" i="18"/>
  <c r="Q17" i="18" s="1"/>
  <c r="I15" i="18"/>
  <c r="I17" i="18" s="1"/>
  <c r="C18" i="18" s="1"/>
  <c r="Y24" i="20"/>
  <c r="Q24" i="20"/>
  <c r="X24" i="20"/>
  <c r="P24" i="20"/>
  <c r="S24" i="20"/>
  <c r="W24" i="20"/>
  <c r="O24" i="20"/>
  <c r="F17" i="19"/>
  <c r="H15" i="19"/>
  <c r="H17" i="19" s="1"/>
  <c r="G15" i="19"/>
  <c r="G17" i="19" s="1"/>
  <c r="B13" i="17"/>
  <c r="C13" i="17"/>
  <c r="C16" i="17" s="1"/>
  <c r="C19" i="17" s="1"/>
  <c r="D13" i="17"/>
  <c r="D16" i="17" s="1"/>
  <c r="D19" i="17" s="1"/>
  <c r="E14" i="17"/>
  <c r="E16" i="17" s="1"/>
  <c r="F14" i="17"/>
  <c r="G14" i="17"/>
  <c r="H14" i="17"/>
  <c r="I14" i="17"/>
  <c r="J14" i="17"/>
  <c r="K14" i="17"/>
  <c r="L14" i="17"/>
  <c r="M14" i="17"/>
  <c r="N14" i="17"/>
  <c r="O14" i="17"/>
  <c r="P14" i="17"/>
  <c r="Q14" i="17"/>
  <c r="R14" i="17"/>
  <c r="S14" i="17"/>
  <c r="T14" i="17"/>
  <c r="U14" i="17"/>
  <c r="F15" i="17"/>
  <c r="F16" i="17" s="1"/>
  <c r="F19" i="17" s="1"/>
  <c r="G15" i="17"/>
  <c r="H15" i="17"/>
  <c r="I15" i="17"/>
  <c r="J15" i="17"/>
  <c r="J16" i="17" s="1"/>
  <c r="J19" i="17" s="1"/>
  <c r="K15" i="17"/>
  <c r="K16" i="17" s="1"/>
  <c r="K19" i="17" s="1"/>
  <c r="L15" i="17"/>
  <c r="L16" i="17" s="1"/>
  <c r="L19" i="17" s="1"/>
  <c r="M15" i="17"/>
  <c r="N15" i="17"/>
  <c r="N16" i="17" s="1"/>
  <c r="N19" i="17" s="1"/>
  <c r="O15" i="17"/>
  <c r="P15" i="17"/>
  <c r="P16" i="17" s="1"/>
  <c r="P19" i="17" s="1"/>
  <c r="Q15" i="17"/>
  <c r="R15" i="17"/>
  <c r="R16" i="17" s="1"/>
  <c r="R19" i="17" s="1"/>
  <c r="S15" i="17"/>
  <c r="S16" i="17" s="1"/>
  <c r="S19" i="17" s="1"/>
  <c r="T15" i="17"/>
  <c r="T16" i="17" s="1"/>
  <c r="T19" i="17" s="1"/>
  <c r="U15" i="17"/>
  <c r="B16" i="17"/>
  <c r="B17" i="17" s="1"/>
  <c r="G16" i="17"/>
  <c r="G19" i="17" s="1"/>
  <c r="H16" i="17"/>
  <c r="H19" i="17" s="1"/>
  <c r="I16" i="17"/>
  <c r="I19" i="17" s="1"/>
  <c r="O16" i="17"/>
  <c r="O19" i="17" s="1"/>
  <c r="Q16" i="17"/>
  <c r="Q19" i="17" s="1"/>
  <c r="B20" i="17"/>
  <c r="B21" i="17"/>
  <c r="E10" i="16"/>
  <c r="F10" i="16"/>
  <c r="G10" i="16"/>
  <c r="H10" i="16"/>
  <c r="I10" i="16"/>
  <c r="J10" i="16"/>
  <c r="K10" i="16"/>
  <c r="L10" i="16"/>
  <c r="B9" i="13"/>
  <c r="E10" i="13" s="1"/>
  <c r="E12" i="13" s="1"/>
  <c r="B10" i="13"/>
  <c r="J10" i="13"/>
  <c r="J12" i="13" s="1"/>
  <c r="K10" i="13"/>
  <c r="K12" i="13" s="1"/>
  <c r="L10" i="13"/>
  <c r="L12" i="13" s="1"/>
  <c r="H12" i="13"/>
  <c r="B27" i="13"/>
  <c r="G28" i="13" s="1"/>
  <c r="C17" i="17" l="1"/>
  <c r="D17" i="17" s="1"/>
  <c r="E17" i="17" s="1"/>
  <c r="F17" i="17" s="1"/>
  <c r="G17" i="17" s="1"/>
  <c r="H17" i="17" s="1"/>
  <c r="I17" i="17" s="1"/>
  <c r="J17" i="17" s="1"/>
  <c r="K17" i="17" s="1"/>
  <c r="L17" i="17" s="1"/>
  <c r="M17" i="17" s="1"/>
  <c r="N17" i="17" s="1"/>
  <c r="O17" i="17" s="1"/>
  <c r="P17" i="17" s="1"/>
  <c r="Q17" i="17" s="1"/>
  <c r="R17" i="17" s="1"/>
  <c r="S17" i="17" s="1"/>
  <c r="T17" i="17" s="1"/>
  <c r="U17" i="17" s="1"/>
  <c r="U16" i="17"/>
  <c r="U19" i="17" s="1"/>
  <c r="M16" i="17"/>
  <c r="M19" i="17" s="1"/>
  <c r="E20" i="13"/>
  <c r="F20" i="13"/>
  <c r="D13" i="16"/>
  <c r="D14" i="16"/>
  <c r="B19" i="17"/>
  <c r="E19" i="19"/>
  <c r="E19" i="17"/>
  <c r="B22" i="17"/>
  <c r="F28" i="13"/>
  <c r="G10" i="13"/>
  <c r="G12" i="13" s="1"/>
  <c r="E28" i="13"/>
  <c r="G20" i="13"/>
  <c r="F10" i="13"/>
  <c r="F12" i="13" s="1"/>
  <c r="I14" i="13" s="1"/>
  <c r="B28" i="13"/>
  <c r="F10" i="12"/>
  <c r="G10" i="12"/>
  <c r="H10" i="12"/>
  <c r="J10" i="12"/>
  <c r="J12" i="12" s="1"/>
  <c r="K10" i="12"/>
  <c r="F12" i="12"/>
  <c r="G11" i="12"/>
  <c r="G12" i="12" s="1"/>
  <c r="H11" i="12"/>
  <c r="I12" i="12"/>
  <c r="K12" i="12"/>
  <c r="L12" i="12"/>
  <c r="M12" i="12"/>
  <c r="N12" i="12"/>
  <c r="O12" i="12"/>
  <c r="P12" i="12"/>
  <c r="Q12" i="12"/>
  <c r="R12" i="12"/>
  <c r="S12" i="12"/>
  <c r="T12" i="12"/>
  <c r="U12" i="12"/>
  <c r="V12" i="12"/>
  <c r="W12" i="12"/>
  <c r="X12" i="12"/>
  <c r="Y12" i="12"/>
  <c r="G11" i="11"/>
  <c r="I7" i="11"/>
  <c r="I9" i="11"/>
  <c r="J9" i="11" s="1"/>
  <c r="K9" i="11" s="1"/>
  <c r="L9" i="11" s="1"/>
  <c r="M9" i="11" s="1"/>
  <c r="H11" i="11"/>
  <c r="I27" i="11"/>
  <c r="I28" i="11" s="1"/>
  <c r="J27" i="11"/>
  <c r="G28" i="11"/>
  <c r="H28" i="11"/>
  <c r="J28" i="11"/>
  <c r="B9" i="10"/>
  <c r="B10" i="10" s="1"/>
  <c r="E10" i="10"/>
  <c r="F10" i="10"/>
  <c r="F12" i="10" s="1"/>
  <c r="I10" i="10"/>
  <c r="I12" i="10" s="1"/>
  <c r="J10" i="10"/>
  <c r="K10" i="10"/>
  <c r="L10" i="10"/>
  <c r="O10" i="10"/>
  <c r="O13" i="10" s="1"/>
  <c r="P10" i="10"/>
  <c r="O14" i="10" s="1"/>
  <c r="E12" i="10"/>
  <c r="H12" i="10"/>
  <c r="J12" i="10"/>
  <c r="K12" i="10"/>
  <c r="L12" i="10"/>
  <c r="B27" i="10"/>
  <c r="H28" i="10" s="1"/>
  <c r="G33" i="10" s="1"/>
  <c r="B28" i="10"/>
  <c r="F38" i="10" s="1"/>
  <c r="C20" i="17" l="1"/>
  <c r="G28" i="10"/>
  <c r="G32" i="10" s="1"/>
  <c r="F28" i="10"/>
  <c r="G31" i="10" s="1"/>
  <c r="E32" i="11"/>
  <c r="H12" i="12"/>
  <c r="G38" i="10"/>
  <c r="E38" i="10"/>
  <c r="H38" i="10"/>
  <c r="E28" i="10"/>
  <c r="G30" i="10" s="1"/>
  <c r="G34" i="10" s="1"/>
  <c r="G10" i="10"/>
  <c r="G12" i="10" s="1"/>
  <c r="E15" i="12"/>
  <c r="E37" i="13"/>
  <c r="F37" i="13"/>
  <c r="G37" i="13"/>
  <c r="J38" i="10"/>
  <c r="K38" i="10" s="1"/>
  <c r="I14" i="10"/>
  <c r="M11" i="11"/>
  <c r="N9" i="11"/>
  <c r="F20" i="10"/>
  <c r="G20" i="10"/>
  <c r="E20" i="10"/>
  <c r="L8" i="11"/>
  <c r="L11" i="11" s="1"/>
  <c r="K8" i="11"/>
  <c r="K11" i="11" s="1"/>
  <c r="J8" i="11"/>
  <c r="J11" i="11" s="1"/>
  <c r="N10" i="10"/>
  <c r="O12" i="10" s="1"/>
  <c r="O15" i="10" s="1"/>
  <c r="I20" i="10" s="1"/>
  <c r="J20" i="10" s="1"/>
  <c r="K20" i="10" s="1"/>
  <c r="L20" i="10" s="1"/>
  <c r="I8" i="11"/>
  <c r="I11" i="11" s="1"/>
  <c r="E22" i="13" l="1"/>
  <c r="I37" i="13"/>
  <c r="E22" i="10"/>
  <c r="E40" i="10"/>
  <c r="N11" i="11"/>
  <c r="O9" i="11"/>
  <c r="J37" i="13" l="1"/>
  <c r="K37" i="13" s="1"/>
  <c r="O11" i="11"/>
  <c r="P9" i="11"/>
  <c r="P11" i="11" l="1"/>
  <c r="Q9" i="11"/>
  <c r="R9" i="11" l="1"/>
  <c r="Q11" i="11"/>
  <c r="S9" i="11" l="1"/>
  <c r="R11" i="11"/>
  <c r="T9" i="11" l="1"/>
  <c r="S11" i="11"/>
  <c r="T11" i="11" l="1"/>
  <c r="U9" i="11"/>
  <c r="U11" i="11" l="1"/>
  <c r="V9" i="11"/>
  <c r="W9" i="11" l="1"/>
  <c r="V11" i="11"/>
  <c r="W11" i="11" l="1"/>
  <c r="X9" i="11"/>
  <c r="X11" i="11" l="1"/>
  <c r="Y9" i="11"/>
  <c r="Y11" i="11" s="1"/>
  <c r="E17"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Reza Hosseini</author>
  </authors>
  <commentList>
    <comment ref="I10" authorId="0" shapeId="0" xr:uid="{00000000-0006-0000-0100-000001000000}">
      <text>
        <r>
          <rPr>
            <sz val="9"/>
            <color indexed="81"/>
            <rFont val="Tahoma"/>
          </rPr>
          <t>پرداخت ها در ابتدای سال انجام می گردد.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Reza Hosseini</author>
  </authors>
  <commentList>
    <comment ref="F10" authorId="0" shapeId="0" xr:uid="{E04637D9-07D3-492A-8E01-940C4E7E6AB3}">
      <text>
        <r>
          <rPr>
            <sz val="9"/>
            <color indexed="81"/>
            <rFont val="Tahoma"/>
          </rPr>
          <t>فرض بر این است که درآمد از ابتدای سال حاصل میگردد.</t>
        </r>
      </text>
    </comment>
    <comment ref="I15" authorId="0" shapeId="0" xr:uid="{3F536D15-8873-4B11-9570-17D3A92CA350}">
      <text>
        <r>
          <rPr>
            <sz val="9"/>
            <color indexed="81"/>
            <rFont val="Tahoma"/>
            <family val="2"/>
          </rPr>
          <t>با فرض اینکه پرداخت در ابتدای سال انجام می گردد.</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Reza Hosseini</author>
  </authors>
  <commentList>
    <comment ref="I10" authorId="0" shapeId="0" xr:uid="{00000000-0006-0000-0600-000001000000}">
      <text>
        <r>
          <rPr>
            <b/>
            <sz val="9"/>
            <color indexed="81"/>
            <rFont val="Tahoma"/>
            <family val="2"/>
          </rPr>
          <t xml:space="preserve"> </t>
        </r>
        <r>
          <rPr>
            <sz val="9"/>
            <color indexed="81"/>
            <rFont val="Tahoma"/>
            <family val="2"/>
          </rPr>
          <t>پرداخت ها در ابتدای سال انجام می گردد.</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Reza Hosseini</author>
  </authors>
  <commentList>
    <comment ref="I15" authorId="0" shapeId="0" xr:uid="{00000000-0006-0000-0700-000001000000}">
      <text>
        <r>
          <rPr>
            <b/>
            <sz val="9"/>
            <color indexed="81"/>
            <rFont val="B Nazanin"/>
            <charset val="178"/>
          </rPr>
          <t>فرض بر این است که در دوران ساخت سود وام را داده شده است و پرداخت در ابتدای سال انجام می گردد.</t>
        </r>
      </text>
    </comment>
  </commentList>
</comments>
</file>

<file path=xl/sharedStrings.xml><?xml version="1.0" encoding="utf-8"?>
<sst xmlns="http://schemas.openxmlformats.org/spreadsheetml/2006/main" count="321" uniqueCount="143">
  <si>
    <t>CAPEX</t>
  </si>
  <si>
    <t>MMUS$</t>
  </si>
  <si>
    <t>IRR=</t>
  </si>
  <si>
    <t>NPV=</t>
  </si>
  <si>
    <t>Capacity</t>
  </si>
  <si>
    <t>MW</t>
  </si>
  <si>
    <t>هزینه سرمایه گذاری</t>
  </si>
  <si>
    <t>CashFlow</t>
  </si>
  <si>
    <t>سرمایه گذاری در ابتدای سال انجام می گردد</t>
  </si>
  <si>
    <t>نمودار جریانات نقدی پرداخت ها</t>
  </si>
  <si>
    <t>میزان قسط پس از دوره تنفس</t>
  </si>
  <si>
    <t>میزان قسط مربوط به آورده وام سال چهارم</t>
  </si>
  <si>
    <t>میزان قسط مربوط به آورده وام سال سوم</t>
  </si>
  <si>
    <t>میزان قسط مربوط به آورده وام سال دوم</t>
  </si>
  <si>
    <t>سال</t>
  </si>
  <si>
    <t xml:space="preserve">بازپرداخت </t>
  </si>
  <si>
    <t>میزان قسط مربوط به آورده وام سال اول</t>
  </si>
  <si>
    <t xml:space="preserve">دوره تنفس </t>
  </si>
  <si>
    <t>نرخ وام</t>
  </si>
  <si>
    <t>میلیون دلار</t>
  </si>
  <si>
    <t>میزان آورده سرمایه گذار</t>
  </si>
  <si>
    <t>سال چهارم</t>
  </si>
  <si>
    <t>سال سوم</t>
  </si>
  <si>
    <t>سال دوم</t>
  </si>
  <si>
    <t>سال اول</t>
  </si>
  <si>
    <t>مبلغ فاینانس</t>
  </si>
  <si>
    <t>سهم فاینانس</t>
  </si>
  <si>
    <t>محاسبه میزان اقساط وام</t>
  </si>
  <si>
    <t>مبلغ کل پروژه</t>
  </si>
  <si>
    <t>ب</t>
  </si>
  <si>
    <t>P</t>
  </si>
  <si>
    <t>میزان قسط مربوط به آورده وام در سال اول</t>
  </si>
  <si>
    <t>ارزش حال CashFlow</t>
  </si>
  <si>
    <t>محاسبه میزان اقساط وام - روش دوم:</t>
  </si>
  <si>
    <t>محاسبه میزان اقساط وام - روش اول:</t>
  </si>
  <si>
    <t>الف</t>
  </si>
  <si>
    <t>میلیارد تومان</t>
  </si>
  <si>
    <t>قیمت پیشنهادی</t>
  </si>
  <si>
    <t>درآمد خالص شرکت</t>
  </si>
  <si>
    <t>بازپرداخت وام</t>
  </si>
  <si>
    <t>بدهی به پیمانکاران</t>
  </si>
  <si>
    <t>-</t>
  </si>
  <si>
    <t>هزینه فرصت</t>
  </si>
  <si>
    <t>قیمت مزایده</t>
  </si>
  <si>
    <t>پرداختی ها</t>
  </si>
  <si>
    <t>درصد پرداخت نقدی ارزش شرکت</t>
  </si>
  <si>
    <t>میزان بدهی شرکت</t>
  </si>
  <si>
    <t>ارزش روز دارایی شرکت</t>
  </si>
  <si>
    <t>اقساط وام مربوط به بدهی</t>
  </si>
  <si>
    <t>درآمد شرکت</t>
  </si>
  <si>
    <t>اقساط وام</t>
  </si>
  <si>
    <r>
      <t>NPV</t>
    </r>
    <r>
      <rPr>
        <sz val="12"/>
        <color theme="1"/>
        <rFont val="Arial"/>
        <family val="2"/>
      </rPr>
      <t>=</t>
    </r>
  </si>
  <si>
    <t>میلیارد دلار</t>
  </si>
  <si>
    <t>هزینه کرد آتی</t>
  </si>
  <si>
    <t>وضعیت در حالت ادامه پروژه</t>
  </si>
  <si>
    <r>
      <t>NPV</t>
    </r>
    <r>
      <rPr>
        <vertAlign val="subscript"/>
        <sz val="12"/>
        <color theme="1"/>
        <rFont val="Arial"/>
        <family val="2"/>
      </rPr>
      <t>2</t>
    </r>
    <r>
      <rPr>
        <sz val="12"/>
        <color theme="1"/>
        <rFont val="Arial"/>
        <family val="2"/>
      </rPr>
      <t>=</t>
    </r>
  </si>
  <si>
    <t>وضعیت در توقف پروژه</t>
  </si>
  <si>
    <r>
      <t>NPV</t>
    </r>
    <r>
      <rPr>
        <vertAlign val="subscript"/>
        <sz val="12"/>
        <color theme="1"/>
        <rFont val="Arial"/>
        <family val="2"/>
      </rPr>
      <t>1</t>
    </r>
    <r>
      <rPr>
        <sz val="12"/>
        <color theme="1"/>
        <rFont val="Arial"/>
        <family val="2"/>
      </rPr>
      <t>=</t>
    </r>
  </si>
  <si>
    <t>هزینه کرد فعلی</t>
  </si>
  <si>
    <t>IRR=(Discount Rate@NPV=0)=</t>
  </si>
  <si>
    <t>NPV@</t>
  </si>
  <si>
    <t>PV@NetCash=</t>
  </si>
  <si>
    <t>Accumulated Cash Flow</t>
  </si>
  <si>
    <t>Revenue</t>
  </si>
  <si>
    <t>O&amp;M</t>
  </si>
  <si>
    <t>c$/kWh</t>
  </si>
  <si>
    <t>Power sale</t>
  </si>
  <si>
    <t>Discount Rate=</t>
  </si>
  <si>
    <t>hr/Yr.</t>
  </si>
  <si>
    <t>Capacity=</t>
  </si>
  <si>
    <r>
      <t>$/m</t>
    </r>
    <r>
      <rPr>
        <vertAlign val="superscript"/>
        <sz val="14"/>
        <color theme="1"/>
        <rFont val="Arial"/>
        <family val="2"/>
      </rPr>
      <t>3</t>
    </r>
  </si>
  <si>
    <t>جریانات نقدی</t>
  </si>
  <si>
    <t>درآمد</t>
  </si>
  <si>
    <t>هزینه احداث خط لوله</t>
  </si>
  <si>
    <t>سرمایه گذاری</t>
  </si>
  <si>
    <t>هزینه کل احداث ایستگاه تقویت فشار</t>
  </si>
  <si>
    <t>دلار بر اینچ متر</t>
  </si>
  <si>
    <t>روز در سال</t>
  </si>
  <si>
    <t>روزکارکرد سالانه</t>
  </si>
  <si>
    <t>اینچ</t>
  </si>
  <si>
    <t>قطر خط لوله</t>
  </si>
  <si>
    <t>میلیون مترمکعب در روز</t>
  </si>
  <si>
    <t xml:space="preserve">حجم انتقال گاز </t>
  </si>
  <si>
    <t xml:space="preserve">هزینه فرصت </t>
  </si>
  <si>
    <t>دوره سرمایه گذاری</t>
  </si>
  <si>
    <t xml:space="preserve">هزینه احداث هر ایستگاه تقویت فشار </t>
  </si>
  <si>
    <t xml:space="preserve">تعداد ایستگاه تقویت فشار گاز  </t>
  </si>
  <si>
    <t>کیلومتر</t>
  </si>
  <si>
    <t xml:space="preserve">طول خط لوله عسلویه به ترکیه </t>
  </si>
  <si>
    <t>فرضیات</t>
  </si>
  <si>
    <t>دلار بر مترمکعب</t>
  </si>
  <si>
    <t>قیمت گاز غنی</t>
  </si>
  <si>
    <t>گاز غنی</t>
  </si>
  <si>
    <t>گاز مایع</t>
  </si>
  <si>
    <t>اتان</t>
  </si>
  <si>
    <t>میعانات گازی</t>
  </si>
  <si>
    <t>متان</t>
  </si>
  <si>
    <t>کارکرد سالانه</t>
  </si>
  <si>
    <t xml:space="preserve">دوره سرمایه گذاری </t>
  </si>
  <si>
    <t>میلیون تن در سال</t>
  </si>
  <si>
    <t>هزار بشکه در روز</t>
  </si>
  <si>
    <t>قیمت</t>
  </si>
  <si>
    <t>محصولات</t>
  </si>
  <si>
    <t>گاز غنی استحصال شده</t>
  </si>
  <si>
    <t>سوال 9)
سرمایه گذاری قصد دارد یک نیروگاه 500 مگاواتی با هزینه سرمایه گذاری 300 میلیون دلار احداث نماید. چنانچه دوران ساخت سه سال با توزیع سرمایه 20% و 50% و 30% باشد و هزینه سالانه عملیاتی برابر 3% هزینه سرمایه گذاری و ساعات کارکرد سالانه برابر 7500 ساعت و قیمت هر کیلووات ساعت فروش برق 4 سنت دلار باشد. میزان ساعت کارکرد متناسب با نقطه سر به سر تولید را محاسبه کنید؟</t>
  </si>
  <si>
    <t>دلار در مترمکعب</t>
  </si>
  <si>
    <t>دلار در بشکه</t>
  </si>
  <si>
    <t>دلار در تن</t>
  </si>
  <si>
    <t>سوالات درس اقتصاد مهندسی</t>
  </si>
  <si>
    <r>
      <rPr>
        <b/>
        <sz val="18"/>
        <color theme="8" tint="-0.499984740745262"/>
        <rFont val="B Nazanin"/>
        <charset val="178"/>
      </rPr>
      <t>سوال 1</t>
    </r>
    <r>
      <rPr>
        <b/>
        <sz val="14"/>
        <color theme="1"/>
        <rFont val="B Nazanin"/>
        <charset val="178"/>
      </rPr>
      <t xml:space="preserve">
فرض کنید در یک مناقصه EPCF شرکت (الف) مبلغ کل اجرای پروژه را یک میلیارد دلار و شرکت (ب) نهصد و سی میلیون دلار اعلام کرده است. شرکت (الف) 75% از هزینه های اجرای طرح را از طریق فاینانس با دوره بازپرداخت 8 سال و دوره تنفس 1 سال و با نرخ 6% و شرکت (ب) 80% از هزینه های اجرای طرح را از طریق فاینانس با دوره بازپرداخت 7 سال و دوره تنفس یکسال و با نرخ 7% تامین می کند.
کدام شرکت برنده مناقصه می باشد ؟ </t>
    </r>
    <r>
      <rPr>
        <b/>
        <sz val="12"/>
        <color theme="1"/>
        <rFont val="B Nazanin"/>
        <charset val="178"/>
      </rPr>
      <t>(سرمایه گذاری در سه سال با نسبت 20، 50 و 30 درصد انجام می گردد و هزینه فرصت معادل 15% در نظر گرفته شود)</t>
    </r>
  </si>
  <si>
    <r>
      <rPr>
        <b/>
        <sz val="16"/>
        <color theme="1"/>
        <rFont val="B Nazanin"/>
        <charset val="178"/>
      </rPr>
      <t>سوال 3)</t>
    </r>
    <r>
      <rPr>
        <b/>
        <sz val="12"/>
        <color theme="1"/>
        <rFont val="B Nazanin"/>
        <charset val="178"/>
      </rPr>
      <t xml:space="preserve">
فرض کنید شما مدیرعامل کارخانه نیمه کاره ای هستید که ظرف شش سال 4 میلیارد دلار در آن هزینه شده است و برای اتمام پروژه نیاز به هزینه کرد 3 میلیارد دلار در سه سال دارید. اگر هزینه فرصت شما 20% باشد و درآمد خالص طرح پس از اتمام سالانه 1500 میلیون دلار باشد، آیا تصمیم به ادامه کار می گیرید و یا تصمیم به توقف پروژه؟ (بهره برداری پروژه 20 سال در نظر گرفته شود)</t>
    </r>
  </si>
  <si>
    <r>
      <rPr>
        <b/>
        <sz val="18"/>
        <color theme="8" tint="-0.499984740745262"/>
        <rFont val="B Nazanin"/>
        <charset val="178"/>
      </rPr>
      <t>سوال 5)</t>
    </r>
    <r>
      <rPr>
        <b/>
        <sz val="14"/>
        <color theme="1"/>
        <rFont val="B Nazanin"/>
        <charset val="178"/>
      </rPr>
      <t xml:space="preserve">
فرض کنید در یک مناقصه EPCF شرکت (الف) مبلغ کل اجرای پروژه را یک میلیارد دلار و در مدت 3 سال و شرکت (ب) نهصد و سی میلیون دلار در مدت 4 سال اعلام کرده است. شرکت (الف) 75% از هزینه های اجرای طرح را از طریق فاینانس با دوره بازپرداخت 8 سال و دوره تنفس 1 سال و با نرخ 8% و شرکت (ب) 80% از هزینه های اجرای طرح را از طریق فاینانس با دوره بازپرداخت 7 سال و دوره تنفس 1 سال و با نرخ 7% تامین می کند. عدم النفع تولید سالانه 300 میلیون دلار است. کدام شرکت برنده مناقصه می باشد ؟ 
(سرمایه گذاری در سه سال با نسبت 20، 50 و 30 درصد و در چهار سال با نسبت 15، 30، 35، 20 انجام می گردد)
</t>
    </r>
  </si>
  <si>
    <t>سوال 6)
سازمان خصوصی سازی قصد دارد یک شرکت پتروشیمی را از طریق مزایده به فروش برساند. اگر ارزش روز مجموع دارایی‌های شرکت برابر 1500 میلیارد تومان و بدهی شرکت به پیمانکاران برای اتمام پروژه ظرف مدت 2 سال برابر 500 میلیارد تومان و بدهی شرکت به بانک ها برابر 2000 میلیارد تومان باشد و قرار باشد برنده مزایده 30% ارزش شرکت را به صورت نقد و مابقی را به مدت سه سال و با اقساط مساوی پرداخت کند، در صورتیکه درآمد خالص شرکت سالانه 800 میلیارد تومان باشد و هزینه فرصت شما 15% باشد قیمت پیشنهادی شما در مزایده چقدر می باشد؟ (بدهی شرکت از طریق وام با نرخ 18% و بازپرداخت 5 ساله انجام می گردد و عمر پروژه 20 سال فرض گردد)</t>
  </si>
  <si>
    <r>
      <rPr>
        <b/>
        <sz val="18"/>
        <color theme="8" tint="-0.499984740745262"/>
        <rFont val="B Nazanin"/>
        <charset val="178"/>
      </rPr>
      <t>سوال 7)</t>
    </r>
    <r>
      <rPr>
        <b/>
        <sz val="16"/>
        <color theme="4" tint="-0.499984740745262"/>
        <rFont val="B Nazanin"/>
        <charset val="178"/>
      </rPr>
      <t xml:space="preserve">
اگر شما در سوال قبلی مالک پتروشیمی باشید و هزینه های شرکت ظرف 6 سال انجام شده باشد و هزینه فرصت شما 15% باشد. قیمت پایه مزایده را چقدر تعیین می کنید؟</t>
    </r>
  </si>
  <si>
    <t>سوال 8)
فرض کنید شما می خواهید کارخانه نیمه کاره ای را بخرید که ظرف شش سال 4 میلیارد دلار در آن هزینه شده است و برای اتمام پروژه نیاز به هزینه کرد 3 میلیارد دلار در سه سال دارید. اگر هزینه فرصت شما 15% باشد و درآمد خالص طرح پس از اتمام سالانه 1500 میلیون دلار باشد، قیمت پیشنهادی شما با فرض اینکه 40% قیمت پروژه را در اقساط مساوی در سه سال باقی مانده از دوران ساخت و 60% باقیمانده را در اقساط مساوی در سه سال اول دوران بهره برداری پرداخت میکنید چقدر است؟ (عمر پروژه 20 سال در نظر گرفته شود)</t>
  </si>
  <si>
    <t>سوال 10)
سرمایه گذاری قصد احداث خط لوله و ایستگاه تقویت فشار گاز طبیعی جهت انتقال گاز به ترکیه را دارد. هزینه انتقال به ازای هر مترمکعب گاز با هزینه فرصت 15% سرمایه گذار چقدر می باشد؟ (عمر پروژه 23 سال)</t>
  </si>
  <si>
    <r>
      <rPr>
        <b/>
        <sz val="22"/>
        <color theme="1"/>
        <rFont val="B Nazanin"/>
        <charset val="178"/>
      </rPr>
      <t>سوال 11)</t>
    </r>
    <r>
      <rPr>
        <b/>
        <sz val="24"/>
        <color theme="1"/>
        <rFont val="B Nazanin"/>
        <charset val="178"/>
      </rPr>
      <t xml:space="preserve">
ارزش ذاتی گاز غنی استحصال شده از فاز 4 , 5 پارس جنوبی را با فرضیات ذیل محاسبه کنید.</t>
    </r>
  </si>
  <si>
    <t>Case 1</t>
  </si>
  <si>
    <t>متراژ زمین</t>
  </si>
  <si>
    <t>m2</t>
  </si>
  <si>
    <t>قیمت واحد زمین</t>
  </si>
  <si>
    <t>Toman/m2</t>
  </si>
  <si>
    <t>کل قیمت زمین</t>
  </si>
  <si>
    <t>NPV@10%=</t>
  </si>
  <si>
    <t>Case 2</t>
  </si>
  <si>
    <t>هزینه خرید نقدی</t>
  </si>
  <si>
    <t>وام مورد نیاز برای خرید نقدی</t>
  </si>
  <si>
    <t>حداکثر نرخ بهره بانکی =</t>
  </si>
  <si>
    <r>
      <rPr>
        <b/>
        <sz val="18"/>
        <color theme="1"/>
        <rFont val="B Zar"/>
        <charset val="178"/>
      </rPr>
      <t>سوال 13)</t>
    </r>
    <r>
      <rPr>
        <b/>
        <sz val="14"/>
        <color theme="1"/>
        <rFont val="B Zar"/>
        <charset val="178"/>
      </rPr>
      <t xml:space="preserve">
فرض کنید قصد دارید هزار مترمربع زمین به قیمت هر متر مربع 10 میلیون تومان را از شرکتی خریداری کنید. شرکت حاضر است به دو طریق زمین مذکور را به فروش برساند. روش اول 10% مبلغ را به طور نقدی دریافت می کند و مابقی را ظرف مدت 5 سال در اقساط مساوی با نرخ بهره 14 درصد. در روش دوم پرداخت به صورت نقدی و با 15% تخفیف می باشد.
فرض کنید قصد دارید از 15 درصد تخفیف نقدی استفاده کنید و زمین را در تملک خود بگیرید. حداکثر نرخ بهره بانکی برای اینکه حاضر باشید از بانک وام بگیرید و با مجموع 10% آورده خود و وام بانکی زمین را از شرکت مذکور نقدی خرید کنید چند درصد می باشد؟</t>
    </r>
  </si>
  <si>
    <t>Toman</t>
  </si>
  <si>
    <t>قیمت هر مترمربع زمین</t>
  </si>
  <si>
    <t xml:space="preserve">سوال 14)
فرض کنید قصد دارید هزار مترمربع زمین به قیمت هر متر مربع 10 میلیون تومان را از شرکتی خریداری کنید. شرکت حاضر است زمین مذکور را با روش 10% مبلغ به طور نقدی و مابقی را ظرف مدت 5 سال با نرخ بهره 18 درصد به فروش برساند. برای خریداری که هزینه فرصت آن 30% می باشد، اقساط وام را طوری تعیین کنید که ارزش روز هر مترمربع زمین حدود 7.4 میلیون تومان شود.
</t>
  </si>
  <si>
    <t>CF</t>
  </si>
  <si>
    <t>hr/Yr</t>
  </si>
  <si>
    <t>درآمد فروش برق</t>
  </si>
  <si>
    <t>50% قیمت اولیه نیروگاه</t>
  </si>
  <si>
    <t>Sale Price=</t>
  </si>
  <si>
    <t>$/kWh</t>
  </si>
  <si>
    <t xml:space="preserve">سوال 12)
فرض کنید شما قرار است در یک مناقصه BOT برای ساخت یک نیروگاه 500 مگاواتی شرکت کنید. اگر قرار باشد به مدت 5 سال برق را تضمینی به وزارت نیرو بفروشید و بعد از 5 سال 50% قیمت اولیه نیروگاه را دریافت کنید و هزینه فرصت شما 20% باشد، قیمت برق پیشنهادی به وزارت نیرو چقدر خواهد بود؟ (دوره ساخت 3 سال است و ضریب کارکرد نیروگاه را 7200 ساعت در سال فرض کنید و هزینه سرمایه گذاری به ازای هر کیلووات 600 دلار در نظر بگیرید)
</t>
  </si>
  <si>
    <t>ارزش اسقاط دارایی ها</t>
  </si>
  <si>
    <r>
      <rPr>
        <b/>
        <sz val="18"/>
        <color rgb="FF002060"/>
        <rFont val="B Nazanin"/>
        <charset val="178"/>
      </rPr>
      <t>سوال 2</t>
    </r>
    <r>
      <rPr>
        <b/>
        <sz val="14"/>
        <color rgb="FF002060"/>
        <rFont val="B Nazanin"/>
        <charset val="178"/>
      </rPr>
      <t xml:space="preserve">
</t>
    </r>
    <r>
      <rPr>
        <b/>
        <sz val="12"/>
        <color rgb="FF002060"/>
        <rFont val="B Nazanin"/>
        <charset val="178"/>
      </rPr>
      <t xml:space="preserve">سازمان خصوصی سازی قصد دارد شرکت پتروشیمی مبین را از طریق مزایده به فروش برساند. اگر ارزش روز مجموع دارایی‌های غیر نقد شرکت برابر 1500 میلیارد تومان و بدهی شرکت برابر 2000 میلیارد تومان باشد و قرار باشد برنده مزایده 30% ارزش شرکت را به صورت نقد و مابقی را به مدت سه سال و با اقساط مساوی پرداخت کند، در صورتیکه درآمد خالص شرکت سالانه 500 میلیارد تومان باشد و هزینه فرصت شما 17% باشد قیمت پیشنهادی شما در مزایده چقدر می باشد؟ (بدهی شرکت از طریق وام با نرخ 18% و بازپرداخت 5 ساله انجام می گردد و عمر پروژه 15 سال فرض گردد) </t>
    </r>
  </si>
  <si>
    <r>
      <rPr>
        <b/>
        <sz val="22"/>
        <color theme="1"/>
        <rFont val="B Nazanin"/>
        <charset val="178"/>
      </rPr>
      <t>سوال 4)</t>
    </r>
    <r>
      <rPr>
        <b/>
        <sz val="16"/>
        <color theme="1"/>
        <rFont val="B Nazanin"/>
        <charset val="178"/>
      </rPr>
      <t xml:space="preserve">
سرمایه گذاری قصد دارد یک نیروگاه 500 مگاواتی با هزینه سرمایه گذاری 300 میلیون دلار احداث نماید. چنانچه دوران ساخت سه سال با توزیع سرمایه 20% و 50% و 30% باشد و هزینه سالانه عملیاتی برابر 3% هزینه سرمایه گذاری و ساعات کارکرد سالانه برابر 7500 ساعت و قیمت هر کیلووات ساعت فروش برق 4 سنت دلار باشد. </t>
    </r>
    <r>
      <rPr>
        <b/>
        <sz val="14"/>
        <color theme="1"/>
        <rFont val="B Nazanin"/>
        <charset val="178"/>
      </rPr>
      <t>IRR</t>
    </r>
    <r>
      <rPr>
        <b/>
        <sz val="16"/>
        <color theme="1"/>
        <rFont val="B Nazanin"/>
        <charset val="178"/>
      </rPr>
      <t xml:space="preserve"> طرح را محاسبه نمایید. </t>
    </r>
  </si>
  <si>
    <t>تابستان 1405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</si>
</sst>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8" formatCode="&quot;$&quot;#,##0.00_);[Red]\(&quot;$&quot;#,##0.00\)"/>
    <numFmt numFmtId="43" formatCode="_(* #,##0.00_);_(* \(#,##0.00\);_(* &quot;-&quot;??_);_(@_)"/>
    <numFmt numFmtId="164" formatCode="0.0"/>
    <numFmt numFmtId="165" formatCode="0.0%"/>
    <numFmt numFmtId="166" formatCode="_(* #,##0_);_(* \(#,##0\);_(* &quot;-&quot;??_);_(@_)"/>
    <numFmt numFmtId="167" formatCode="#,##0.0_);[Red]\(#,##0.0\)"/>
    <numFmt numFmtId="168" formatCode="0.0_);[Red]\(0.0\)"/>
    <numFmt numFmtId="169" formatCode="0_);[Red]\(0\)"/>
    <numFmt numFmtId="170" formatCode="0.000000000"/>
    <numFmt numFmtId="171" formatCode="0.0000"/>
    <numFmt numFmtId="172" formatCode="0.000"/>
  </numFmts>
  <fonts count="65">
    <font>
      <sz val="11"/>
      <color theme="1"/>
      <name val="Calibri"/>
      <family val="2"/>
      <scheme val="minor"/>
    </font>
    <font>
      <sz val="9"/>
      <color indexed="81"/>
      <name val="Tahoma"/>
      <family val="2"/>
    </font>
    <font>
      <sz val="11"/>
      <color theme="1"/>
      <name val="Calibri"/>
      <family val="2"/>
      <scheme val="minor"/>
    </font>
    <font>
      <sz val="11"/>
      <color theme="1"/>
      <name val="Arial"/>
      <family val="2"/>
    </font>
    <font>
      <b/>
      <sz val="12"/>
      <color theme="1"/>
      <name val="Arial"/>
      <family val="2"/>
    </font>
    <font>
      <b/>
      <sz val="16"/>
      <color theme="1"/>
      <name val="B Nazanin"/>
      <charset val="178"/>
    </font>
    <font>
      <sz val="12"/>
      <color theme="1"/>
      <name val="Arial"/>
      <family val="2"/>
    </font>
    <font>
      <b/>
      <sz val="14"/>
      <color theme="1"/>
      <name val="Arial"/>
      <family val="2"/>
    </font>
    <font>
      <i/>
      <sz val="10"/>
      <color theme="1"/>
      <name val="Arial"/>
      <family val="2"/>
    </font>
    <font>
      <b/>
      <sz val="11"/>
      <color theme="1"/>
      <name val="B Nazanin"/>
      <charset val="178"/>
    </font>
    <font>
      <sz val="12"/>
      <color theme="1"/>
      <name val="B Nazanin"/>
      <charset val="178"/>
    </font>
    <font>
      <b/>
      <sz val="12"/>
      <color theme="1"/>
      <name val="B Nazanin"/>
      <charset val="178"/>
    </font>
    <font>
      <b/>
      <sz val="14"/>
      <color theme="1"/>
      <name val="B Nazanin"/>
      <charset val="178"/>
    </font>
    <font>
      <b/>
      <sz val="18"/>
      <name val="B Nazanin"/>
      <charset val="178"/>
    </font>
    <font>
      <sz val="11"/>
      <color rgb="FFFF0000"/>
      <name val="Calibri"/>
      <family val="2"/>
      <scheme val="minor"/>
    </font>
    <font>
      <b/>
      <sz val="18"/>
      <color rgb="FF0070C0"/>
      <name val="Wingdings 2"/>
      <family val="1"/>
      <charset val="2"/>
    </font>
    <font>
      <b/>
      <sz val="11"/>
      <color theme="5" tint="-0.499984740745262"/>
      <name val="Arial"/>
      <family val="2"/>
    </font>
    <font>
      <sz val="14"/>
      <color theme="1"/>
      <name val="B Nazanin"/>
      <charset val="178"/>
    </font>
    <font>
      <sz val="9"/>
      <color theme="1"/>
      <name val="Arial"/>
      <family val="2"/>
    </font>
    <font>
      <sz val="12"/>
      <color theme="1"/>
      <name val="Calibri"/>
      <family val="2"/>
      <scheme val="minor"/>
    </font>
    <font>
      <sz val="13"/>
      <color theme="1"/>
      <name val="B Nazanin"/>
      <charset val="178"/>
    </font>
    <font>
      <i/>
      <sz val="11"/>
      <color theme="1"/>
      <name val="B Nazanin"/>
      <charset val="178"/>
    </font>
    <font>
      <b/>
      <sz val="18"/>
      <color theme="1"/>
      <name val="B Titr"/>
      <charset val="178"/>
    </font>
    <font>
      <sz val="11"/>
      <color theme="1"/>
      <name val="Wingdings 2"/>
      <family val="1"/>
      <charset val="2"/>
    </font>
    <font>
      <i/>
      <sz val="9"/>
      <color theme="1"/>
      <name val="Calibri"/>
      <family val="2"/>
      <scheme val="minor"/>
    </font>
    <font>
      <sz val="11"/>
      <color theme="1"/>
      <name val="B Nazanin"/>
      <charset val="178"/>
    </font>
    <font>
      <b/>
      <sz val="10"/>
      <color theme="1"/>
      <name val="B Nazanin"/>
      <charset val="178"/>
    </font>
    <font>
      <i/>
      <sz val="10"/>
      <color theme="1"/>
      <name val="B Nazanin"/>
      <charset val="178"/>
    </font>
    <font>
      <i/>
      <sz val="8"/>
      <color theme="1"/>
      <name val="Arial"/>
      <family val="2"/>
    </font>
    <font>
      <b/>
      <sz val="16"/>
      <color theme="1"/>
      <name val="B Titr"/>
      <charset val="178"/>
    </font>
    <font>
      <sz val="11"/>
      <color theme="8" tint="-0.499984740745262"/>
      <name val="Calibri"/>
      <family val="2"/>
      <scheme val="minor"/>
    </font>
    <font>
      <b/>
      <sz val="18"/>
      <color theme="8" tint="-0.499984740745262"/>
      <name val="B Nazanin"/>
      <charset val="178"/>
    </font>
    <font>
      <b/>
      <sz val="9"/>
      <color indexed="81"/>
      <name val="Tahoma"/>
      <family val="2"/>
    </font>
    <font>
      <sz val="10"/>
      <color theme="1"/>
      <name val="Arial"/>
      <family val="2"/>
    </font>
    <font>
      <sz val="10"/>
      <color theme="1"/>
      <name val="B Nazanin"/>
      <charset val="178"/>
    </font>
    <font>
      <b/>
      <sz val="16"/>
      <color theme="4" tint="-0.499984740745262"/>
      <name val="B Nazanin"/>
      <charset val="178"/>
    </font>
    <font>
      <b/>
      <sz val="16"/>
      <color rgb="FF002060"/>
      <name val="B Nazanin"/>
      <charset val="178"/>
    </font>
    <font>
      <b/>
      <sz val="9"/>
      <color indexed="81"/>
      <name val="B Nazanin"/>
      <charset val="178"/>
    </font>
    <font>
      <sz val="16"/>
      <color theme="1"/>
      <name val="B Nazanin"/>
      <charset val="178"/>
    </font>
    <font>
      <b/>
      <sz val="16"/>
      <color theme="1"/>
      <name val="Arial"/>
      <family val="2"/>
    </font>
    <font>
      <b/>
      <sz val="20"/>
      <color theme="1"/>
      <name val="B Nazanin"/>
      <charset val="178"/>
    </font>
    <font>
      <sz val="9"/>
      <color theme="1"/>
      <name val="B Nazanin"/>
      <charset val="178"/>
    </font>
    <font>
      <b/>
      <sz val="14"/>
      <color rgb="FF002060"/>
      <name val="B Nazanin"/>
      <charset val="178"/>
    </font>
    <font>
      <b/>
      <sz val="18"/>
      <color rgb="FF002060"/>
      <name val="B Nazanin"/>
      <charset val="178"/>
    </font>
    <font>
      <b/>
      <sz val="12"/>
      <color rgb="FF002060"/>
      <name val="B Nazanin"/>
      <charset val="178"/>
    </font>
    <font>
      <vertAlign val="subscript"/>
      <sz val="12"/>
      <color theme="1"/>
      <name val="Arial"/>
      <family val="2"/>
    </font>
    <font>
      <b/>
      <sz val="22"/>
      <color theme="1"/>
      <name val="B Nazanin"/>
      <charset val="178"/>
    </font>
    <font>
      <b/>
      <sz val="16"/>
      <color rgb="FF002060"/>
      <name val="Arial"/>
      <family val="2"/>
    </font>
    <font>
      <sz val="14"/>
      <color theme="1"/>
      <name val="Arial"/>
      <family val="2"/>
    </font>
    <font>
      <vertAlign val="superscript"/>
      <sz val="14"/>
      <color theme="1"/>
      <name val="Arial"/>
      <family val="2"/>
    </font>
    <font>
      <i/>
      <sz val="12"/>
      <color theme="1"/>
      <name val="B Nazanin"/>
      <charset val="178"/>
    </font>
    <font>
      <b/>
      <sz val="16"/>
      <color theme="3"/>
      <name val="B Nazanin"/>
      <charset val="178"/>
    </font>
    <font>
      <b/>
      <sz val="24"/>
      <color theme="1"/>
      <name val="B Nazanin"/>
      <charset val="178"/>
    </font>
    <font>
      <sz val="72"/>
      <color theme="1"/>
      <name val="B Titr"/>
      <charset val="178"/>
    </font>
    <font>
      <b/>
      <sz val="22"/>
      <color theme="1"/>
      <name val="B Titr"/>
      <charset val="178"/>
    </font>
    <font>
      <b/>
      <sz val="11"/>
      <color theme="1"/>
      <name val="Calibri"/>
      <family val="2"/>
      <scheme val="minor"/>
    </font>
    <font>
      <sz val="9"/>
      <color indexed="81"/>
      <name val="Tahoma"/>
    </font>
    <font>
      <u/>
      <sz val="11"/>
      <color theme="10"/>
      <name val="Calibri"/>
      <family val="2"/>
      <scheme val="minor"/>
    </font>
    <font>
      <b/>
      <sz val="14"/>
      <color theme="1"/>
      <name val="B Zar"/>
      <charset val="178"/>
    </font>
    <font>
      <b/>
      <sz val="16"/>
      <color theme="1"/>
      <name val="Calibri"/>
      <family val="2"/>
      <scheme val="minor"/>
    </font>
    <font>
      <sz val="14"/>
      <color theme="1"/>
      <name val="Calibri"/>
      <family val="2"/>
      <scheme val="minor"/>
    </font>
    <font>
      <b/>
      <sz val="18"/>
      <color theme="1"/>
      <name val="B Zar"/>
      <charset val="178"/>
    </font>
    <font>
      <u/>
      <sz val="14"/>
      <name val="Calibri"/>
      <family val="2"/>
      <scheme val="minor"/>
    </font>
    <font>
      <b/>
      <sz val="11"/>
      <color theme="1"/>
      <name val="Arial"/>
      <family val="2"/>
    </font>
    <font>
      <b/>
      <sz val="36"/>
      <color theme="1"/>
      <name val="B Zar"/>
      <charset val="178"/>
    </font>
  </fonts>
  <fills count="17">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6" tint="0.59999389629810485"/>
        <bgColor indexed="64"/>
      </patternFill>
    </fill>
  </fills>
  <borders count="4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dashed">
        <color indexed="64"/>
      </right>
      <top/>
      <bottom style="dashed">
        <color indexed="64"/>
      </bottom>
      <diagonal/>
    </border>
    <border>
      <left/>
      <right style="thin">
        <color indexed="64"/>
      </right>
      <top/>
      <bottom style="dashed">
        <color indexed="64"/>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diagonal/>
    </border>
    <border>
      <left style="dashed">
        <color indexed="64"/>
      </left>
      <right/>
      <top/>
      <bottom style="thin">
        <color indexed="64"/>
      </bottom>
      <diagonal/>
    </border>
    <border>
      <left style="dashed">
        <color indexed="64"/>
      </left>
      <right/>
      <top style="thin">
        <color indexed="64"/>
      </top>
      <bottom style="thin">
        <color indexed="64"/>
      </bottom>
      <diagonal/>
    </border>
    <border>
      <left style="dashed">
        <color indexed="64"/>
      </left>
      <right/>
      <top/>
      <bottom/>
      <diagonal/>
    </border>
    <border>
      <left style="dashed">
        <color indexed="64"/>
      </left>
      <right style="dashed">
        <color indexed="64"/>
      </right>
      <top style="thin">
        <color indexed="64"/>
      </top>
      <bottom style="thin">
        <color indexed="64"/>
      </bottom>
      <diagonal/>
    </border>
    <border>
      <left style="dashed">
        <color indexed="64"/>
      </left>
      <right/>
      <top style="dashed">
        <color indexed="64"/>
      </top>
      <bottom/>
      <diagonal/>
    </border>
    <border>
      <left/>
      <right style="dashed">
        <color indexed="64"/>
      </right>
      <top/>
      <bottom style="thin">
        <color indexed="64"/>
      </bottom>
      <diagonal/>
    </border>
    <border>
      <left/>
      <right style="dashed">
        <color indexed="64"/>
      </right>
      <top style="thin">
        <color indexed="64"/>
      </top>
      <bottom/>
      <diagonal/>
    </border>
    <border>
      <left style="dashed">
        <color indexed="64"/>
      </left>
      <right/>
      <top style="thin">
        <color indexed="64"/>
      </top>
      <bottom/>
      <diagonal/>
    </border>
    <border>
      <left/>
      <right style="dashed">
        <color indexed="64"/>
      </right>
      <top style="thin">
        <color indexed="64"/>
      </top>
      <bottom style="thin">
        <color indexed="64"/>
      </bottom>
      <diagonal/>
    </border>
    <border>
      <left/>
      <right style="dashed">
        <color indexed="64"/>
      </right>
      <top style="dashed">
        <color indexed="64"/>
      </top>
      <bottom/>
      <diagonal/>
    </border>
    <border>
      <left/>
      <right/>
      <top style="dashed">
        <color indexed="64"/>
      </top>
      <bottom/>
      <diagonal/>
    </border>
    <border>
      <left/>
      <right style="dashed">
        <color indexed="64"/>
      </right>
      <top style="dashed">
        <color indexed="64"/>
      </top>
      <bottom style="dashed">
        <color indexed="64"/>
      </bottom>
      <diagonal/>
    </border>
    <border>
      <left/>
      <right/>
      <top style="dashed">
        <color indexed="64"/>
      </top>
      <bottom style="dashed">
        <color indexed="64"/>
      </bottom>
      <diagonal/>
    </border>
    <border>
      <left style="dashed">
        <color indexed="64"/>
      </left>
      <right/>
      <top style="dashed">
        <color indexed="64"/>
      </top>
      <bottom style="dashed">
        <color indexed="64"/>
      </bottom>
      <diagonal/>
    </border>
    <border>
      <left style="thin">
        <color indexed="64"/>
      </left>
      <right style="thin">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2" fillId="0" borderId="0" applyFont="0" applyFill="0" applyBorder="0" applyAlignment="0" applyProtection="0"/>
    <xf numFmtId="43" fontId="2" fillId="0" borderId="0" applyFont="0" applyFill="0" applyBorder="0" applyAlignment="0" applyProtection="0"/>
    <xf numFmtId="0" fontId="57" fillId="0" borderId="0" applyNumberFormat="0" applyFill="0" applyBorder="0" applyAlignment="0" applyProtection="0"/>
  </cellStyleXfs>
  <cellXfs count="481">
    <xf numFmtId="0" fontId="0" fillId="0" borderId="0" xfId="0"/>
    <xf numFmtId="0" fontId="3" fillId="2" borderId="0" xfId="0" applyFont="1" applyFill="1" applyAlignment="1">
      <alignment horizontal="right"/>
    </xf>
    <xf numFmtId="0" fontId="6" fillId="2" borderId="1" xfId="0" applyFont="1" applyFill="1" applyBorder="1" applyAlignment="1">
      <alignment horizontal="right" vertical="center"/>
    </xf>
    <xf numFmtId="0" fontId="0" fillId="2" borderId="0" xfId="0" applyFill="1"/>
    <xf numFmtId="0" fontId="0" fillId="6" borderId="0" xfId="0" applyFill="1"/>
    <xf numFmtId="0" fontId="15" fillId="2" borderId="0" xfId="0" applyFont="1" applyFill="1" applyAlignment="1">
      <alignment horizontal="right"/>
    </xf>
    <xf numFmtId="0" fontId="7" fillId="2" borderId="3" xfId="0" applyFont="1" applyFill="1" applyBorder="1" applyAlignment="1">
      <alignment horizontal="right" vertical="center"/>
    </xf>
    <xf numFmtId="6" fontId="7" fillId="2" borderId="1" xfId="0" applyNumberFormat="1" applyFont="1" applyFill="1" applyBorder="1" applyAlignment="1">
      <alignment horizontal="left" vertical="center"/>
    </xf>
    <xf numFmtId="164" fontId="3" fillId="2" borderId="12" xfId="0" applyNumberFormat="1" applyFont="1" applyFill="1" applyBorder="1" applyAlignment="1">
      <alignment horizontal="right" vertical="center"/>
    </xf>
    <xf numFmtId="164" fontId="3" fillId="2" borderId="11" xfId="0" applyNumberFormat="1" applyFont="1" applyFill="1" applyBorder="1" applyAlignment="1">
      <alignment horizontal="right" vertical="center"/>
    </xf>
    <xf numFmtId="164" fontId="16" fillId="2" borderId="11" xfId="0" applyNumberFormat="1" applyFont="1" applyFill="1" applyBorder="1" applyAlignment="1">
      <alignment horizontal="right" vertical="center"/>
    </xf>
    <xf numFmtId="164" fontId="3" fillId="2" borderId="10" xfId="0" applyNumberFormat="1" applyFont="1" applyFill="1" applyBorder="1" applyAlignment="1">
      <alignment horizontal="right" vertical="center"/>
    </xf>
    <xf numFmtId="0" fontId="3" fillId="2" borderId="7" xfId="0" applyFont="1" applyFill="1" applyBorder="1" applyAlignment="1">
      <alignment horizontal="right" vertical="center"/>
    </xf>
    <xf numFmtId="0" fontId="3" fillId="2" borderId="6" xfId="0" applyFont="1" applyFill="1" applyBorder="1" applyAlignment="1">
      <alignment horizontal="right" vertical="center"/>
    </xf>
    <xf numFmtId="0" fontId="3" fillId="5" borderId="6" xfId="0" applyFont="1" applyFill="1" applyBorder="1" applyAlignment="1">
      <alignment horizontal="right" vertical="center"/>
    </xf>
    <xf numFmtId="0" fontId="3" fillId="5" borderId="5" xfId="0" applyFont="1" applyFill="1" applyBorder="1" applyAlignment="1">
      <alignment horizontal="right" vertical="center"/>
    </xf>
    <xf numFmtId="9" fontId="0" fillId="2" borderId="0" xfId="0" applyNumberFormat="1" applyFill="1"/>
    <xf numFmtId="164" fontId="11" fillId="2" borderId="3" xfId="0" applyNumberFormat="1" applyFont="1" applyFill="1" applyBorder="1" applyAlignment="1">
      <alignment horizontal="center" vertical="center"/>
    </xf>
    <xf numFmtId="164" fontId="17" fillId="2" borderId="3" xfId="0" applyNumberFormat="1" applyFont="1" applyFill="1" applyBorder="1" applyAlignment="1">
      <alignment horizontal="center" vertical="center"/>
    </xf>
    <xf numFmtId="0" fontId="10" fillId="2" borderId="12" xfId="0" applyFont="1" applyFill="1" applyBorder="1" applyAlignment="1">
      <alignment vertical="center"/>
    </xf>
    <xf numFmtId="0" fontId="10" fillId="2" borderId="11" xfId="0" applyFont="1" applyFill="1" applyBorder="1" applyAlignment="1">
      <alignment vertical="center"/>
    </xf>
    <xf numFmtId="0" fontId="10" fillId="2" borderId="10" xfId="0" applyFont="1" applyFill="1" applyBorder="1" applyAlignment="1">
      <alignment vertical="center"/>
    </xf>
    <xf numFmtId="0" fontId="10" fillId="2" borderId="9" xfId="0" applyFont="1" applyFill="1" applyBorder="1" applyAlignment="1">
      <alignment vertical="center"/>
    </xf>
    <xf numFmtId="0" fontId="10" fillId="2" borderId="0" xfId="0" applyFont="1" applyFill="1" applyAlignment="1">
      <alignment vertical="center"/>
    </xf>
    <xf numFmtId="0" fontId="10" fillId="2" borderId="8" xfId="0" applyFont="1" applyFill="1" applyBorder="1" applyAlignment="1">
      <alignment vertical="center"/>
    </xf>
    <xf numFmtId="0" fontId="18" fillId="2" borderId="0" xfId="0" applyFont="1" applyFill="1"/>
    <xf numFmtId="0" fontId="19" fillId="2" borderId="9" xfId="0" applyFont="1" applyFill="1" applyBorder="1"/>
    <xf numFmtId="9" fontId="10" fillId="2" borderId="0" xfId="1" applyFont="1" applyFill="1" applyBorder="1"/>
    <xf numFmtId="0" fontId="10" fillId="2" borderId="8" xfId="0" applyFont="1" applyFill="1" applyBorder="1"/>
    <xf numFmtId="0" fontId="20" fillId="2" borderId="0" xfId="0" applyFont="1" applyFill="1"/>
    <xf numFmtId="0" fontId="10" fillId="2" borderId="9" xfId="0" applyFont="1" applyFill="1" applyBorder="1"/>
    <xf numFmtId="0" fontId="10" fillId="2" borderId="0" xfId="0" applyFont="1" applyFill="1"/>
    <xf numFmtId="9" fontId="21" fillId="2" borderId="0" xfId="1" applyFont="1" applyFill="1" applyAlignment="1">
      <alignment horizontal="center" vertical="center"/>
    </xf>
    <xf numFmtId="9" fontId="10" fillId="2" borderId="9" xfId="0" applyNumberFormat="1" applyFont="1" applyFill="1" applyBorder="1"/>
    <xf numFmtId="0" fontId="11" fillId="2" borderId="0" xfId="0" applyFont="1" applyFill="1"/>
    <xf numFmtId="0" fontId="10" fillId="2" borderId="7" xfId="0" applyFont="1" applyFill="1" applyBorder="1"/>
    <xf numFmtId="0" fontId="10" fillId="2" borderId="6" xfId="0" applyFont="1" applyFill="1" applyBorder="1"/>
    <xf numFmtId="0" fontId="10" fillId="2" borderId="5" xfId="0" applyFont="1" applyFill="1" applyBorder="1"/>
    <xf numFmtId="0" fontId="22" fillId="2" borderId="0" xfId="0" applyFont="1" applyFill="1" applyAlignment="1">
      <alignment vertical="center"/>
    </xf>
    <xf numFmtId="0" fontId="0" fillId="7" borderId="0" xfId="0" applyFill="1"/>
    <xf numFmtId="0" fontId="0" fillId="7" borderId="0" xfId="0" applyFill="1" applyAlignment="1">
      <alignment horizontal="right"/>
    </xf>
    <xf numFmtId="8" fontId="0" fillId="7" borderId="0" xfId="0" applyNumberFormat="1" applyFill="1"/>
    <xf numFmtId="0" fontId="22" fillId="7" borderId="0" xfId="0" applyFont="1" applyFill="1" applyAlignment="1">
      <alignment vertical="center"/>
    </xf>
    <xf numFmtId="0" fontId="23" fillId="2" borderId="0" xfId="0" applyFont="1" applyFill="1"/>
    <xf numFmtId="164" fontId="0" fillId="2" borderId="0" xfId="0" applyNumberFormat="1" applyFill="1"/>
    <xf numFmtId="0" fontId="0" fillId="2" borderId="0" xfId="0" applyFill="1" applyAlignment="1">
      <alignment vertical="center"/>
    </xf>
    <xf numFmtId="164" fontId="18" fillId="2" borderId="12" xfId="0" applyNumberFormat="1" applyFont="1" applyFill="1" applyBorder="1" applyAlignment="1">
      <alignment vertical="center"/>
    </xf>
    <xf numFmtId="164" fontId="18" fillId="2" borderId="11" xfId="0" applyNumberFormat="1" applyFont="1" applyFill="1" applyBorder="1" applyAlignment="1">
      <alignment vertical="center"/>
    </xf>
    <xf numFmtId="164" fontId="0" fillId="2" borderId="11" xfId="0" applyNumberFormat="1" applyFill="1" applyBorder="1"/>
    <xf numFmtId="0" fontId="18" fillId="2" borderId="11" xfId="0" applyFont="1" applyFill="1" applyBorder="1" applyAlignment="1">
      <alignment vertical="center"/>
    </xf>
    <xf numFmtId="0" fontId="18" fillId="2" borderId="10" xfId="0" applyFont="1" applyFill="1" applyBorder="1" applyAlignment="1">
      <alignment vertical="center"/>
    </xf>
    <xf numFmtId="0" fontId="18" fillId="2" borderId="7" xfId="0" applyFont="1" applyFill="1" applyBorder="1" applyAlignment="1">
      <alignment vertical="center"/>
    </xf>
    <xf numFmtId="0" fontId="18" fillId="2" borderId="6" xfId="0" applyFont="1" applyFill="1" applyBorder="1" applyAlignment="1">
      <alignment vertical="center"/>
    </xf>
    <xf numFmtId="0" fontId="18" fillId="5" borderId="6" xfId="0" applyFont="1" applyFill="1" applyBorder="1" applyAlignment="1">
      <alignment vertical="center"/>
    </xf>
    <xf numFmtId="0" fontId="18" fillId="5" borderId="5" xfId="0" applyFont="1" applyFill="1" applyBorder="1" applyAlignment="1">
      <alignment vertical="center"/>
    </xf>
    <xf numFmtId="9" fontId="24" fillId="2" borderId="0" xfId="1" applyFont="1" applyFill="1"/>
    <xf numFmtId="164" fontId="0" fillId="2" borderId="0" xfId="0" applyNumberFormat="1" applyFill="1" applyAlignment="1">
      <alignment horizontal="right" vertical="center"/>
    </xf>
    <xf numFmtId="164" fontId="0" fillId="2" borderId="0" xfId="0" applyNumberFormat="1" applyFill="1" applyAlignment="1">
      <alignment vertical="center"/>
    </xf>
    <xf numFmtId="2" fontId="25" fillId="2" borderId="0" xfId="0" applyNumberFormat="1" applyFont="1" applyFill="1" applyAlignment="1">
      <alignment vertical="center"/>
    </xf>
    <xf numFmtId="164" fontId="0" fillId="4" borderId="16" xfId="0" applyNumberFormat="1" applyFill="1" applyBorder="1" applyAlignment="1">
      <alignment vertical="center"/>
    </xf>
    <xf numFmtId="2" fontId="11" fillId="4" borderId="17" xfId="0" applyNumberFormat="1" applyFont="1" applyFill="1" applyBorder="1" applyAlignment="1">
      <alignment horizontal="center" vertical="center"/>
    </xf>
    <xf numFmtId="0" fontId="9" fillId="4" borderId="18" xfId="0" applyFont="1" applyFill="1" applyBorder="1" applyAlignment="1">
      <alignment vertical="center" wrapText="1"/>
    </xf>
    <xf numFmtId="0" fontId="0" fillId="8" borderId="16" xfId="0" applyFill="1" applyBorder="1"/>
    <xf numFmtId="0" fontId="0" fillId="8" borderId="19" xfId="0" applyFill="1" applyBorder="1"/>
    <xf numFmtId="1" fontId="0" fillId="8" borderId="19" xfId="0" applyNumberFormat="1" applyFill="1" applyBorder="1" applyAlignment="1">
      <alignment horizontal="right" vertical="center"/>
    </xf>
    <xf numFmtId="0" fontId="0" fillId="8" borderId="18" xfId="0" applyFill="1" applyBorder="1"/>
    <xf numFmtId="0" fontId="0" fillId="4" borderId="20" xfId="0" applyFill="1" applyBorder="1"/>
    <xf numFmtId="164" fontId="20" fillId="4" borderId="12" xfId="0" applyNumberFormat="1" applyFont="1" applyFill="1" applyBorder="1" applyAlignment="1">
      <alignment horizontal="center" vertical="center"/>
    </xf>
    <xf numFmtId="0" fontId="10" fillId="4" borderId="21" xfId="0" applyFont="1" applyFill="1" applyBorder="1" applyAlignment="1">
      <alignment vertical="center" wrapText="1"/>
    </xf>
    <xf numFmtId="0" fontId="0" fillId="8" borderId="20" xfId="0" applyFill="1" applyBorder="1"/>
    <xf numFmtId="0" fontId="0" fillId="8" borderId="0" xfId="0" applyFill="1"/>
    <xf numFmtId="0" fontId="6" fillId="8" borderId="3" xfId="0" applyFont="1" applyFill="1" applyBorder="1" applyAlignment="1">
      <alignment horizontal="right" vertical="center"/>
    </xf>
    <xf numFmtId="164" fontId="6" fillId="8" borderId="1" xfId="0" applyNumberFormat="1" applyFont="1" applyFill="1" applyBorder="1" applyAlignment="1">
      <alignment horizontal="left" vertical="center"/>
    </xf>
    <xf numFmtId="2" fontId="3" fillId="8" borderId="3" xfId="0" applyNumberFormat="1" applyFont="1" applyFill="1" applyBorder="1" applyAlignment="1">
      <alignment horizontal="center" vertical="center"/>
    </xf>
    <xf numFmtId="0" fontId="26" fillId="8" borderId="22" xfId="0" applyFont="1" applyFill="1" applyBorder="1" applyAlignment="1">
      <alignment vertical="center" wrapText="1"/>
    </xf>
    <xf numFmtId="164" fontId="20" fillId="4" borderId="3" xfId="0" applyNumberFormat="1" applyFont="1" applyFill="1" applyBorder="1" applyAlignment="1">
      <alignment horizontal="center" vertical="center"/>
    </xf>
    <xf numFmtId="0" fontId="10" fillId="4" borderId="22" xfId="0" applyFont="1" applyFill="1" applyBorder="1" applyAlignment="1">
      <alignment vertical="center" wrapText="1"/>
    </xf>
    <xf numFmtId="0" fontId="0" fillId="8" borderId="23" xfId="0" applyFill="1" applyBorder="1"/>
    <xf numFmtId="164" fontId="3" fillId="8" borderId="24" xfId="0" applyNumberFormat="1" applyFont="1" applyFill="1" applyBorder="1" applyAlignment="1">
      <alignment vertical="center"/>
    </xf>
    <xf numFmtId="164" fontId="3" fillId="8" borderId="22" xfId="0" applyNumberFormat="1" applyFont="1" applyFill="1" applyBorder="1" applyAlignment="1">
      <alignment vertical="center"/>
    </xf>
    <xf numFmtId="0" fontId="18" fillId="4" borderId="20" xfId="0" applyFont="1" applyFill="1" applyBorder="1"/>
    <xf numFmtId="0" fontId="0" fillId="4" borderId="0" xfId="0" applyFill="1"/>
    <xf numFmtId="0" fontId="18" fillId="4" borderId="23" xfId="0" applyFont="1" applyFill="1" applyBorder="1"/>
    <xf numFmtId="0" fontId="18" fillId="8" borderId="20" xfId="0" applyFont="1" applyFill="1" applyBorder="1"/>
    <xf numFmtId="0" fontId="18" fillId="8" borderId="0" xfId="0" applyFont="1" applyFill="1"/>
    <xf numFmtId="0" fontId="11" fillId="8" borderId="25" xfId="0" applyFont="1" applyFill="1" applyBorder="1"/>
    <xf numFmtId="0" fontId="20" fillId="4" borderId="26" xfId="0" applyFont="1" applyFill="1" applyBorder="1" applyAlignment="1">
      <alignment horizontal="center" vertical="center"/>
    </xf>
    <xf numFmtId="0" fontId="20" fillId="4" borderId="11" xfId="0" applyFont="1" applyFill="1" applyBorder="1"/>
    <xf numFmtId="0" fontId="20" fillId="4" borderId="21" xfId="0" applyFont="1" applyFill="1" applyBorder="1"/>
    <xf numFmtId="2" fontId="3" fillId="8" borderId="26" xfId="0" applyNumberFormat="1" applyFont="1" applyFill="1" applyBorder="1" applyAlignment="1">
      <alignment horizontal="right" vertical="center"/>
    </xf>
    <xf numFmtId="2" fontId="3" fillId="8" borderId="11" xfId="0" applyNumberFormat="1" applyFont="1" applyFill="1" applyBorder="1" applyAlignment="1">
      <alignment horizontal="right" vertical="center"/>
    </xf>
    <xf numFmtId="0" fontId="3" fillId="8" borderId="11" xfId="0" applyFont="1" applyFill="1" applyBorder="1" applyAlignment="1">
      <alignment horizontal="right" vertical="center"/>
    </xf>
    <xf numFmtId="0" fontId="3" fillId="8" borderId="21" xfId="0" applyFont="1" applyFill="1" applyBorder="1" applyAlignment="1">
      <alignment horizontal="right" vertical="center"/>
    </xf>
    <xf numFmtId="0" fontId="20" fillId="4" borderId="27" xfId="0" applyFont="1" applyFill="1" applyBorder="1" applyAlignment="1">
      <alignment horizontal="center" vertical="center"/>
    </xf>
    <xf numFmtId="0" fontId="20" fillId="4" borderId="6" xfId="0" applyFont="1" applyFill="1" applyBorder="1"/>
    <xf numFmtId="0" fontId="20" fillId="4" borderId="28" xfId="0" applyFont="1" applyFill="1" applyBorder="1"/>
    <xf numFmtId="0" fontId="3" fillId="8" borderId="29" xfId="0" applyFont="1" applyFill="1" applyBorder="1" applyAlignment="1">
      <alignment horizontal="right" vertical="center"/>
    </xf>
    <xf numFmtId="0" fontId="3" fillId="8" borderId="2" xfId="0" applyFont="1" applyFill="1" applyBorder="1" applyAlignment="1">
      <alignment horizontal="right" vertical="center"/>
    </xf>
    <xf numFmtId="0" fontId="3" fillId="8" borderId="22" xfId="0" applyFont="1" applyFill="1" applyBorder="1" applyAlignment="1">
      <alignment horizontal="right" vertical="center"/>
    </xf>
    <xf numFmtId="9" fontId="27" fillId="4" borderId="20" xfId="1" applyFont="1" applyFill="1" applyBorder="1" applyAlignment="1">
      <alignment horizontal="right" vertical="center"/>
    </xf>
    <xf numFmtId="9" fontId="27" fillId="4" borderId="0" xfId="1" applyFont="1" applyFill="1" applyBorder="1" applyAlignment="1">
      <alignment horizontal="right" vertical="center"/>
    </xf>
    <xf numFmtId="9" fontId="27" fillId="4" borderId="23" xfId="1" applyFont="1" applyFill="1" applyBorder="1" applyAlignment="1">
      <alignment horizontal="right" vertical="center"/>
    </xf>
    <xf numFmtId="0" fontId="3" fillId="8" borderId="20" xfId="0" applyFont="1" applyFill="1" applyBorder="1"/>
    <xf numFmtId="0" fontId="3" fillId="8" borderId="0" xfId="0" applyFont="1" applyFill="1"/>
    <xf numFmtId="9" fontId="28" fillId="8" borderId="0" xfId="1" applyFont="1" applyFill="1" applyBorder="1"/>
    <xf numFmtId="9" fontId="28" fillId="8" borderId="23" xfId="1" applyFont="1" applyFill="1" applyBorder="1"/>
    <xf numFmtId="0" fontId="0" fillId="4" borderId="30" xfId="0" applyFill="1" applyBorder="1"/>
    <xf numFmtId="0" fontId="0" fillId="4" borderId="31" xfId="0" applyFill="1" applyBorder="1"/>
    <xf numFmtId="0" fontId="11" fillId="4" borderId="25" xfId="0" applyFont="1" applyFill="1" applyBorder="1"/>
    <xf numFmtId="0" fontId="0" fillId="8" borderId="30" xfId="0" applyFill="1" applyBorder="1"/>
    <xf numFmtId="0" fontId="0" fillId="8" borderId="31" xfId="0" applyFill="1" applyBorder="1"/>
    <xf numFmtId="0" fontId="11" fillId="8" borderId="25" xfId="0" applyFont="1" applyFill="1" applyBorder="1" applyAlignment="1">
      <alignment vertical="center"/>
    </xf>
    <xf numFmtId="0" fontId="10" fillId="2" borderId="5" xfId="0" applyFont="1" applyFill="1" applyBorder="1" applyAlignment="1">
      <alignment vertical="center"/>
    </xf>
    <xf numFmtId="0" fontId="25" fillId="2" borderId="0" xfId="0" applyFont="1" applyFill="1"/>
    <xf numFmtId="0" fontId="29" fillId="2" borderId="0" xfId="0" applyFont="1" applyFill="1" applyAlignment="1">
      <alignment vertical="center"/>
    </xf>
    <xf numFmtId="0" fontId="30" fillId="9" borderId="0" xfId="0" applyFont="1" applyFill="1"/>
    <xf numFmtId="0" fontId="0" fillId="2" borderId="0" xfId="0" applyFill="1" applyAlignment="1">
      <alignment horizontal="center"/>
    </xf>
    <xf numFmtId="0" fontId="10" fillId="2" borderId="3" xfId="0" applyFont="1" applyFill="1" applyBorder="1"/>
    <xf numFmtId="167" fontId="33" fillId="2" borderId="32" xfId="0" applyNumberFormat="1" applyFont="1" applyFill="1" applyBorder="1" applyAlignment="1">
      <alignment horizontal="center"/>
    </xf>
    <xf numFmtId="167" fontId="33" fillId="2" borderId="0" xfId="0" applyNumberFormat="1" applyFont="1" applyFill="1" applyAlignment="1">
      <alignment horizontal="left"/>
    </xf>
    <xf numFmtId="0" fontId="10" fillId="2" borderId="12" xfId="0" applyFont="1" applyFill="1" applyBorder="1"/>
    <xf numFmtId="0" fontId="10" fillId="2" borderId="11" xfId="0" applyFont="1" applyFill="1" applyBorder="1" applyAlignment="1">
      <alignment horizontal="center"/>
    </xf>
    <xf numFmtId="0" fontId="10" fillId="2" borderId="10" xfId="0" applyFont="1" applyFill="1" applyBorder="1"/>
    <xf numFmtId="0" fontId="10" fillId="2" borderId="0" xfId="0" applyFont="1" applyFill="1" applyAlignment="1">
      <alignment horizontal="center"/>
    </xf>
    <xf numFmtId="164" fontId="33" fillId="2" borderId="12" xfId="0" applyNumberFormat="1" applyFont="1" applyFill="1" applyBorder="1"/>
    <xf numFmtId="164" fontId="33" fillId="2" borderId="11" xfId="0" applyNumberFormat="1" applyFont="1" applyFill="1" applyBorder="1"/>
    <xf numFmtId="164" fontId="33" fillId="2" borderId="10" xfId="0" applyNumberFormat="1" applyFont="1" applyFill="1" applyBorder="1"/>
    <xf numFmtId="0" fontId="34" fillId="2" borderId="1" xfId="0" applyFont="1" applyFill="1" applyBorder="1" applyAlignment="1">
      <alignment horizontal="left" indent="1"/>
    </xf>
    <xf numFmtId="0" fontId="0" fillId="2" borderId="9" xfId="0" applyFill="1" applyBorder="1" applyAlignment="1">
      <alignment horizontal="center"/>
    </xf>
    <xf numFmtId="9" fontId="10" fillId="2" borderId="0" xfId="1" applyFont="1" applyFill="1" applyBorder="1" applyAlignment="1">
      <alignment horizontal="center"/>
    </xf>
    <xf numFmtId="164" fontId="0" fillId="2" borderId="12" xfId="0" applyNumberFormat="1" applyFill="1" applyBorder="1"/>
    <xf numFmtId="0" fontId="0" fillId="2" borderId="10" xfId="0" applyFill="1" applyBorder="1"/>
    <xf numFmtId="168" fontId="33" fillId="2" borderId="7" xfId="0" applyNumberFormat="1" applyFont="1" applyFill="1" applyBorder="1"/>
    <xf numFmtId="168" fontId="33" fillId="2" borderId="6" xfId="0" applyNumberFormat="1" applyFont="1" applyFill="1" applyBorder="1"/>
    <xf numFmtId="168" fontId="33" fillId="2" borderId="5" xfId="0" applyNumberFormat="1" applyFont="1" applyFill="1" applyBorder="1"/>
    <xf numFmtId="0" fontId="33" fillId="2" borderId="7" xfId="0" applyFont="1" applyFill="1" applyBorder="1"/>
    <xf numFmtId="0" fontId="33" fillId="2" borderId="6" xfId="0" applyFont="1" applyFill="1" applyBorder="1"/>
    <xf numFmtId="0" fontId="33" fillId="2" borderId="5" xfId="0" applyFont="1" applyFill="1" applyBorder="1"/>
    <xf numFmtId="0" fontId="10" fillId="2" borderId="6" xfId="0" applyFont="1" applyFill="1" applyBorder="1" applyAlignment="1">
      <alignment horizontal="center"/>
    </xf>
    <xf numFmtId="0" fontId="10" fillId="2" borderId="3" xfId="0" applyFont="1" applyFill="1" applyBorder="1" applyAlignment="1">
      <alignment vertical="center"/>
    </xf>
    <xf numFmtId="1" fontId="11" fillId="10" borderId="29" xfId="0" applyNumberFormat="1" applyFont="1" applyFill="1" applyBorder="1" applyAlignment="1">
      <alignment horizontal="center" vertical="center"/>
    </xf>
    <xf numFmtId="0" fontId="3" fillId="2" borderId="0" xfId="0" applyFont="1" applyFill="1" applyAlignment="1">
      <alignment horizontal="right" vertical="center"/>
    </xf>
    <xf numFmtId="167" fontId="33" fillId="2" borderId="0" xfId="0" applyNumberFormat="1" applyFont="1" applyFill="1" applyAlignment="1">
      <alignment horizontal="left" vertical="center"/>
    </xf>
    <xf numFmtId="0" fontId="14" fillId="2" borderId="0" xfId="0" applyFont="1" applyFill="1"/>
    <xf numFmtId="164" fontId="33" fillId="2" borderId="3" xfId="0" applyNumberFormat="1" applyFont="1" applyFill="1" applyBorder="1"/>
    <xf numFmtId="164" fontId="33" fillId="2" borderId="2" xfId="0" applyNumberFormat="1" applyFont="1" applyFill="1" applyBorder="1"/>
    <xf numFmtId="164" fontId="33" fillId="2" borderId="1" xfId="0" applyNumberFormat="1" applyFont="1" applyFill="1" applyBorder="1"/>
    <xf numFmtId="0" fontId="0" fillId="2" borderId="9" xfId="0" applyFill="1" applyBorder="1"/>
    <xf numFmtId="0" fontId="33" fillId="2" borderId="0" xfId="0" applyFont="1" applyFill="1"/>
    <xf numFmtId="169" fontId="33" fillId="2" borderId="0" xfId="0" applyNumberFormat="1" applyFont="1" applyFill="1"/>
    <xf numFmtId="169" fontId="33" fillId="2" borderId="8" xfId="0" applyNumberFormat="1" applyFont="1" applyFill="1" applyBorder="1"/>
    <xf numFmtId="0" fontId="33" fillId="2" borderId="9" xfId="0" applyFont="1" applyFill="1" applyBorder="1"/>
    <xf numFmtId="0" fontId="33" fillId="2" borderId="8" xfId="0" applyFont="1" applyFill="1" applyBorder="1"/>
    <xf numFmtId="167" fontId="33" fillId="2" borderId="0" xfId="0" applyNumberFormat="1" applyFont="1" applyFill="1"/>
    <xf numFmtId="8" fontId="33" fillId="2" borderId="8" xfId="0" applyNumberFormat="1" applyFont="1" applyFill="1" applyBorder="1"/>
    <xf numFmtId="0" fontId="0" fillId="2" borderId="7" xfId="0" applyFill="1" applyBorder="1"/>
    <xf numFmtId="0" fontId="0" fillId="2" borderId="6" xfId="0" applyFill="1" applyBorder="1"/>
    <xf numFmtId="164" fontId="33" fillId="2" borderId="6" xfId="0" applyNumberFormat="1" applyFont="1" applyFill="1" applyBorder="1"/>
    <xf numFmtId="164" fontId="33" fillId="2" borderId="5" xfId="0" applyNumberFormat="1" applyFont="1" applyFill="1" applyBorder="1"/>
    <xf numFmtId="0" fontId="0" fillId="9" borderId="0" xfId="0" applyFill="1"/>
    <xf numFmtId="0" fontId="0" fillId="9" borderId="0" xfId="0" applyFill="1" applyAlignment="1">
      <alignment horizontal="center"/>
    </xf>
    <xf numFmtId="0" fontId="25" fillId="2" borderId="0" xfId="0" applyFont="1" applyFill="1" applyAlignment="1">
      <alignment vertical="center" readingOrder="2"/>
    </xf>
    <xf numFmtId="164" fontId="4" fillId="2" borderId="3" xfId="0" applyNumberFormat="1" applyFont="1" applyFill="1" applyBorder="1" applyAlignment="1">
      <alignment horizontal="center" vertical="center" readingOrder="2"/>
    </xf>
    <xf numFmtId="0" fontId="6" fillId="2" borderId="3" xfId="0" applyFont="1" applyFill="1" applyBorder="1" applyAlignment="1">
      <alignment horizontal="right" vertical="center" readingOrder="1"/>
    </xf>
    <xf numFmtId="40" fontId="6" fillId="2" borderId="1" xfId="0" applyNumberFormat="1" applyFont="1" applyFill="1" applyBorder="1" applyAlignment="1">
      <alignment horizontal="left" vertical="center" readingOrder="2"/>
    </xf>
    <xf numFmtId="8" fontId="25" fillId="2" borderId="0" xfId="0" applyNumberFormat="1" applyFont="1" applyFill="1" applyAlignment="1">
      <alignment vertical="center" readingOrder="2"/>
    </xf>
    <xf numFmtId="0" fontId="3" fillId="2" borderId="3" xfId="0" applyFont="1" applyFill="1" applyBorder="1" applyAlignment="1">
      <alignment horizontal="center" vertical="center" readingOrder="1"/>
    </xf>
    <xf numFmtId="0" fontId="3" fillId="2" borderId="2" xfId="0" applyFont="1" applyFill="1" applyBorder="1" applyAlignment="1">
      <alignment horizontal="center" vertical="center" readingOrder="1"/>
    </xf>
    <xf numFmtId="2" fontId="3" fillId="2" borderId="2" xfId="0" applyNumberFormat="1" applyFont="1" applyFill="1" applyBorder="1" applyAlignment="1">
      <alignment horizontal="center" vertical="center" readingOrder="1"/>
    </xf>
    <xf numFmtId="2" fontId="3" fillId="2" borderId="1" xfId="0" applyNumberFormat="1" applyFont="1" applyFill="1" applyBorder="1" applyAlignment="1">
      <alignment horizontal="center" vertical="center" readingOrder="1"/>
    </xf>
    <xf numFmtId="0" fontId="25" fillId="2" borderId="15" xfId="0" applyFont="1" applyFill="1" applyBorder="1" applyAlignment="1">
      <alignment horizontal="center" vertical="center" readingOrder="2"/>
    </xf>
    <xf numFmtId="0" fontId="3" fillId="2" borderId="12" xfId="0" applyFont="1" applyFill="1" applyBorder="1" applyAlignment="1">
      <alignment horizontal="center" vertical="center" readingOrder="1"/>
    </xf>
    <xf numFmtId="0" fontId="3" fillId="2" borderId="11" xfId="0" applyFont="1" applyFill="1" applyBorder="1" applyAlignment="1">
      <alignment horizontal="center" vertical="center" readingOrder="1"/>
    </xf>
    <xf numFmtId="0" fontId="3" fillId="2" borderId="10" xfId="0" applyFont="1" applyFill="1" applyBorder="1" applyAlignment="1">
      <alignment horizontal="center" vertical="center" readingOrder="1"/>
    </xf>
    <xf numFmtId="0" fontId="3" fillId="2" borderId="9" xfId="0" applyFont="1" applyFill="1" applyBorder="1" applyAlignment="1">
      <alignment horizontal="center" vertical="center" readingOrder="1"/>
    </xf>
    <xf numFmtId="0" fontId="3" fillId="2" borderId="0" xfId="0" applyFont="1" applyFill="1" applyAlignment="1">
      <alignment horizontal="center" vertical="center" readingOrder="1"/>
    </xf>
    <xf numFmtId="2" fontId="3" fillId="2" borderId="6" xfId="0" applyNumberFormat="1" applyFont="1" applyFill="1" applyBorder="1" applyAlignment="1">
      <alignment horizontal="center" vertical="center" readingOrder="1"/>
    </xf>
    <xf numFmtId="2" fontId="3" fillId="2" borderId="5" xfId="0" applyNumberFormat="1" applyFont="1" applyFill="1" applyBorder="1" applyAlignment="1">
      <alignment horizontal="center" vertical="center" readingOrder="1"/>
    </xf>
    <xf numFmtId="0" fontId="25" fillId="2" borderId="0" xfId="0" applyFont="1" applyFill="1" applyAlignment="1">
      <alignment horizontal="center" vertical="center" readingOrder="2"/>
    </xf>
    <xf numFmtId="0" fontId="3" fillId="11" borderId="3" xfId="0" applyFont="1" applyFill="1" applyBorder="1" applyAlignment="1">
      <alignment horizontal="center" vertical="center" readingOrder="1"/>
    </xf>
    <xf numFmtId="0" fontId="3" fillId="11" borderId="2" xfId="0" applyFont="1" applyFill="1" applyBorder="1" applyAlignment="1">
      <alignment horizontal="center" vertical="center" readingOrder="1"/>
    </xf>
    <xf numFmtId="0" fontId="3" fillId="11" borderId="6" xfId="0" applyFont="1" applyFill="1" applyBorder="1" applyAlignment="1">
      <alignment horizontal="center" vertical="center" readingOrder="1"/>
    </xf>
    <xf numFmtId="0" fontId="3" fillId="5" borderId="6" xfId="0" applyFont="1" applyFill="1" applyBorder="1" applyAlignment="1">
      <alignment horizontal="center" vertical="center" readingOrder="1"/>
    </xf>
    <xf numFmtId="0" fontId="3" fillId="5" borderId="5" xfId="0" applyFont="1" applyFill="1" applyBorder="1" applyAlignment="1">
      <alignment horizontal="center" vertical="center" readingOrder="1"/>
    </xf>
    <xf numFmtId="0" fontId="10" fillId="2" borderId="0" xfId="0" applyFont="1" applyFill="1" applyAlignment="1">
      <alignment vertical="center" readingOrder="2"/>
    </xf>
    <xf numFmtId="0" fontId="10" fillId="2" borderId="0" xfId="0" applyFont="1" applyFill="1" applyAlignment="1">
      <alignment horizontal="center" vertical="center" readingOrder="2"/>
    </xf>
    <xf numFmtId="0" fontId="17" fillId="2" borderId="0" xfId="0" applyFont="1" applyFill="1" applyAlignment="1">
      <alignment vertical="center" readingOrder="2"/>
    </xf>
    <xf numFmtId="0" fontId="6" fillId="2" borderId="0" xfId="0" applyFont="1" applyFill="1" applyAlignment="1">
      <alignment horizontal="center" vertical="center" readingOrder="1"/>
    </xf>
    <xf numFmtId="0" fontId="25" fillId="9" borderId="0" xfId="0" applyFont="1" applyFill="1" applyAlignment="1">
      <alignment vertical="center" readingOrder="2"/>
    </xf>
    <xf numFmtId="0" fontId="20" fillId="2" borderId="12" xfId="0" applyFont="1" applyFill="1" applyBorder="1"/>
    <xf numFmtId="0" fontId="20" fillId="2" borderId="11" xfId="0" applyFont="1" applyFill="1" applyBorder="1"/>
    <xf numFmtId="0" fontId="20" fillId="2" borderId="10" xfId="0" applyFont="1" applyFill="1" applyBorder="1"/>
    <xf numFmtId="0" fontId="20" fillId="2" borderId="7" xfId="0" applyFont="1" applyFill="1" applyBorder="1"/>
    <xf numFmtId="0" fontId="20" fillId="2" borderId="6" xfId="0" applyFont="1" applyFill="1" applyBorder="1"/>
    <xf numFmtId="0" fontId="20" fillId="2" borderId="5" xfId="0" applyFont="1" applyFill="1" applyBorder="1"/>
    <xf numFmtId="170" fontId="0" fillId="8" borderId="0" xfId="0" applyNumberFormat="1" applyFill="1"/>
    <xf numFmtId="0" fontId="17" fillId="2" borderId="0" xfId="0" applyFont="1" applyFill="1"/>
    <xf numFmtId="0" fontId="5" fillId="2" borderId="0" xfId="0" applyFont="1" applyFill="1"/>
    <xf numFmtId="8" fontId="0" fillId="6" borderId="0" xfId="0" applyNumberFormat="1" applyFill="1" applyAlignment="1">
      <alignment horizontal="center"/>
    </xf>
    <xf numFmtId="0" fontId="33" fillId="2" borderId="3" xfId="0" applyFont="1" applyFill="1" applyBorder="1"/>
    <xf numFmtId="0" fontId="33" fillId="2" borderId="2" xfId="0" applyFont="1" applyFill="1" applyBorder="1"/>
    <xf numFmtId="0" fontId="41" fillId="2" borderId="15" xfId="0" applyFont="1" applyFill="1" applyBorder="1" applyAlignment="1">
      <alignment horizontal="right" indent="1"/>
    </xf>
    <xf numFmtId="0" fontId="33" fillId="2" borderId="12" xfId="0" applyFont="1" applyFill="1" applyBorder="1"/>
    <xf numFmtId="0" fontId="33" fillId="2" borderId="11" xfId="0" applyFont="1" applyFill="1" applyBorder="1"/>
    <xf numFmtId="0" fontId="10" fillId="2" borderId="14" xfId="0" applyFont="1" applyFill="1" applyBorder="1"/>
    <xf numFmtId="8" fontId="33" fillId="2" borderId="0" xfId="0" applyNumberFormat="1" applyFont="1" applyFill="1"/>
    <xf numFmtId="0" fontId="25" fillId="2" borderId="13" xfId="0" applyFont="1" applyFill="1" applyBorder="1" applyAlignment="1">
      <alignment vertical="center"/>
    </xf>
    <xf numFmtId="0" fontId="33" fillId="2" borderId="1" xfId="0" applyFont="1" applyFill="1" applyBorder="1"/>
    <xf numFmtId="0" fontId="6" fillId="2" borderId="11" xfId="0" applyFont="1" applyFill="1" applyBorder="1" applyAlignment="1">
      <alignment horizontal="right" vertical="center" readingOrder="1"/>
    </xf>
    <xf numFmtId="40" fontId="6" fillId="2" borderId="10" xfId="0" applyNumberFormat="1" applyFont="1" applyFill="1" applyBorder="1" applyAlignment="1">
      <alignment horizontal="left" vertical="center" readingOrder="2"/>
    </xf>
    <xf numFmtId="0" fontId="6" fillId="2" borderId="6" xfId="0" applyFont="1" applyFill="1" applyBorder="1" applyAlignment="1">
      <alignment horizontal="right" vertical="center" readingOrder="1"/>
    </xf>
    <xf numFmtId="40" fontId="6" fillId="2" borderId="5" xfId="0" applyNumberFormat="1" applyFont="1" applyFill="1" applyBorder="1" applyAlignment="1">
      <alignment horizontal="left" vertical="center" readingOrder="2"/>
    </xf>
    <xf numFmtId="2" fontId="3" fillId="2" borderId="11" xfId="0" applyNumberFormat="1" applyFont="1" applyFill="1" applyBorder="1" applyAlignment="1">
      <alignment horizontal="right" vertical="center" readingOrder="1"/>
    </xf>
    <xf numFmtId="2" fontId="3" fillId="2" borderId="10" xfId="0" applyNumberFormat="1" applyFont="1" applyFill="1" applyBorder="1" applyAlignment="1">
      <alignment horizontal="right" vertical="center" readingOrder="1"/>
    </xf>
    <xf numFmtId="0" fontId="3" fillId="11" borderId="7" xfId="0" applyFont="1" applyFill="1" applyBorder="1" applyAlignment="1">
      <alignment horizontal="center" vertical="center" readingOrder="1"/>
    </xf>
    <xf numFmtId="0" fontId="3" fillId="12" borderId="6" xfId="0" applyFont="1" applyFill="1" applyBorder="1" applyAlignment="1">
      <alignment horizontal="center" vertical="center" readingOrder="1"/>
    </xf>
    <xf numFmtId="0" fontId="3" fillId="12" borderId="5" xfId="0" applyFont="1" applyFill="1" applyBorder="1" applyAlignment="1">
      <alignment horizontal="center" vertical="center" readingOrder="1"/>
    </xf>
    <xf numFmtId="0" fontId="6" fillId="2" borderId="0" xfId="0" applyFont="1" applyFill="1"/>
    <xf numFmtId="0" fontId="6" fillId="2" borderId="0" xfId="0" applyFont="1" applyFill="1" applyAlignment="1">
      <alignment horizontal="center"/>
    </xf>
    <xf numFmtId="0" fontId="6" fillId="2" borderId="0" xfId="0" applyFont="1" applyFill="1" applyAlignment="1">
      <alignment vertical="center"/>
    </xf>
    <xf numFmtId="2" fontId="6" fillId="2" borderId="0" xfId="0" applyNumberFormat="1" applyFont="1" applyFill="1" applyAlignment="1">
      <alignment horizontal="center" vertical="center"/>
    </xf>
    <xf numFmtId="9" fontId="6" fillId="2" borderId="3" xfId="0" applyNumberFormat="1" applyFont="1" applyFill="1" applyBorder="1" applyAlignment="1">
      <alignment horizontal="left" vertical="center"/>
    </xf>
    <xf numFmtId="0" fontId="6" fillId="2" borderId="3" xfId="0" applyFont="1" applyFill="1" applyBorder="1" applyAlignment="1">
      <alignment vertical="center"/>
    </xf>
    <xf numFmtId="2" fontId="6" fillId="2" borderId="2" xfId="0" applyNumberFormat="1" applyFont="1" applyFill="1" applyBorder="1" applyAlignment="1">
      <alignment horizontal="center" vertical="center"/>
    </xf>
    <xf numFmtId="9" fontId="6" fillId="2" borderId="2" xfId="0" applyNumberFormat="1" applyFont="1" applyFill="1" applyBorder="1" applyAlignment="1">
      <alignment horizontal="left" vertical="center"/>
    </xf>
    <xf numFmtId="164" fontId="6" fillId="2" borderId="3" xfId="0" applyNumberFormat="1" applyFont="1" applyFill="1" applyBorder="1" applyAlignment="1">
      <alignment horizontal="center" vertical="center"/>
    </xf>
    <xf numFmtId="164" fontId="6" fillId="2" borderId="2" xfId="0" applyNumberFormat="1" applyFont="1" applyFill="1" applyBorder="1" applyAlignment="1">
      <alignment horizontal="center" vertical="center"/>
    </xf>
    <xf numFmtId="0" fontId="6" fillId="2" borderId="0" xfId="0" applyFont="1" applyFill="1" applyAlignment="1">
      <alignment horizontal="center" vertical="center"/>
    </xf>
    <xf numFmtId="0" fontId="6" fillId="2" borderId="3"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1" xfId="0" applyFont="1" applyFill="1" applyBorder="1" applyAlignment="1">
      <alignment vertical="center"/>
    </xf>
    <xf numFmtId="0" fontId="6" fillId="2" borderId="12"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0" xfId="0" applyFont="1" applyFill="1" applyBorder="1" applyAlignment="1">
      <alignment vertical="center"/>
    </xf>
    <xf numFmtId="0" fontId="6" fillId="2" borderId="9" xfId="0" applyFont="1" applyFill="1" applyBorder="1" applyAlignment="1">
      <alignment horizontal="center" vertical="center"/>
    </xf>
    <xf numFmtId="0" fontId="6" fillId="2" borderId="8" xfId="0" applyFont="1" applyFill="1" applyBorder="1" applyAlignment="1">
      <alignment vertical="center"/>
    </xf>
    <xf numFmtId="0" fontId="6" fillId="2" borderId="7"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5" xfId="0" applyFont="1" applyFill="1" applyBorder="1" applyAlignment="1">
      <alignment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1" xfId="0" applyFont="1" applyFill="1" applyBorder="1" applyAlignment="1">
      <alignment horizontal="center" vertical="center"/>
    </xf>
    <xf numFmtId="9" fontId="8" fillId="2" borderId="0" xfId="1" applyFont="1" applyFill="1" applyAlignment="1">
      <alignment horizontal="center" vertical="center"/>
    </xf>
    <xf numFmtId="9" fontId="6" fillId="2" borderId="0" xfId="1" applyFont="1" applyFill="1"/>
    <xf numFmtId="9" fontId="6" fillId="2" borderId="0" xfId="1" applyFont="1" applyFill="1" applyAlignment="1">
      <alignment horizontal="left" vertical="center"/>
    </xf>
    <xf numFmtId="9" fontId="6" fillId="2" borderId="0" xfId="1" applyFont="1" applyFill="1" applyAlignment="1">
      <alignment horizontal="center" vertical="center"/>
    </xf>
    <xf numFmtId="0" fontId="47" fillId="13" borderId="3" xfId="0" applyFont="1" applyFill="1" applyBorder="1" applyAlignment="1">
      <alignment vertical="center"/>
    </xf>
    <xf numFmtId="0" fontId="47" fillId="13" borderId="2" xfId="0" applyFont="1" applyFill="1" applyBorder="1" applyAlignment="1">
      <alignment horizontal="center" vertical="center"/>
    </xf>
    <xf numFmtId="0" fontId="47" fillId="13" borderId="1" xfId="0" applyFont="1" applyFill="1" applyBorder="1" applyAlignment="1">
      <alignment horizontal="right" vertical="center"/>
    </xf>
    <xf numFmtId="164" fontId="6" fillId="2" borderId="3" xfId="0" applyNumberFormat="1" applyFont="1" applyFill="1" applyBorder="1" applyAlignment="1">
      <alignment horizontal="left" vertical="center"/>
    </xf>
    <xf numFmtId="164" fontId="6" fillId="2" borderId="2" xfId="0" applyNumberFormat="1" applyFont="1" applyFill="1" applyBorder="1" applyAlignment="1">
      <alignment horizontal="left" vertical="center"/>
    </xf>
    <xf numFmtId="164" fontId="6" fillId="2" borderId="12" xfId="0" applyNumberFormat="1" applyFont="1" applyFill="1" applyBorder="1" applyAlignment="1">
      <alignment horizontal="left" vertical="center"/>
    </xf>
    <xf numFmtId="164" fontId="6" fillId="2" borderId="11" xfId="0" applyNumberFormat="1" applyFont="1" applyFill="1" applyBorder="1" applyAlignment="1">
      <alignment horizontal="left" vertical="center"/>
    </xf>
    <xf numFmtId="0" fontId="6" fillId="8" borderId="3" xfId="0" applyFont="1" applyFill="1" applyBorder="1" applyAlignment="1">
      <alignment horizontal="center" vertical="center"/>
    </xf>
    <xf numFmtId="0" fontId="6" fillId="8" borderId="2" xfId="0" applyFont="1" applyFill="1" applyBorder="1" applyAlignment="1">
      <alignment horizontal="center" vertical="center"/>
    </xf>
    <xf numFmtId="0" fontId="6" fillId="8" borderId="1" xfId="0" applyFont="1" applyFill="1" applyBorder="1" applyAlignment="1">
      <alignment horizontal="center" vertical="center"/>
    </xf>
    <xf numFmtId="0" fontId="48" fillId="2" borderId="0" xfId="0" applyFont="1" applyFill="1" applyAlignment="1">
      <alignment vertical="center"/>
    </xf>
    <xf numFmtId="0" fontId="48" fillId="2" borderId="0" xfId="0" applyFont="1" applyFill="1" applyAlignment="1">
      <alignment horizontal="center" vertical="center"/>
    </xf>
    <xf numFmtId="9" fontId="48" fillId="2" borderId="0" xfId="1" applyFont="1" applyFill="1" applyAlignment="1">
      <alignment horizontal="center" vertical="center"/>
    </xf>
    <xf numFmtId="0" fontId="5" fillId="2" borderId="11" xfId="0" applyFont="1" applyFill="1" applyBorder="1" applyAlignment="1">
      <alignment vertical="center" wrapText="1" readingOrder="2"/>
    </xf>
    <xf numFmtId="0" fontId="5" fillId="2" borderId="0" xfId="0" applyFont="1" applyFill="1" applyAlignment="1">
      <alignment vertical="center" wrapText="1" readingOrder="2"/>
    </xf>
    <xf numFmtId="0" fontId="17" fillId="2" borderId="0" xfId="0" applyFont="1" applyFill="1" applyAlignment="1">
      <alignment readingOrder="1"/>
    </xf>
    <xf numFmtId="0" fontId="17" fillId="2" borderId="0" xfId="0" applyFont="1" applyFill="1" applyAlignment="1">
      <alignment vertical="center"/>
    </xf>
    <xf numFmtId="171" fontId="5" fillId="2" borderId="3" xfId="0" applyNumberFormat="1" applyFont="1" applyFill="1" applyBorder="1" applyAlignment="1">
      <alignment vertical="center"/>
    </xf>
    <xf numFmtId="0" fontId="48" fillId="2" borderId="1" xfId="0" applyFont="1" applyFill="1" applyBorder="1" applyAlignment="1">
      <alignment vertical="center" readingOrder="1"/>
    </xf>
    <xf numFmtId="0" fontId="48" fillId="2" borderId="0" xfId="0" applyFont="1" applyFill="1" applyAlignment="1">
      <alignment horizontal="right" vertical="center"/>
    </xf>
    <xf numFmtId="2" fontId="48" fillId="2" borderId="0" xfId="0" applyNumberFormat="1" applyFont="1" applyFill="1" applyAlignment="1">
      <alignment horizontal="left" vertical="center"/>
    </xf>
    <xf numFmtId="0" fontId="17" fillId="2" borderId="0" xfId="0" applyFont="1" applyFill="1" applyAlignment="1">
      <alignment vertical="center" readingOrder="1"/>
    </xf>
    <xf numFmtId="0" fontId="17" fillId="2" borderId="3" xfId="0" applyFont="1" applyFill="1" applyBorder="1" applyAlignment="1">
      <alignment vertical="center"/>
    </xf>
    <xf numFmtId="0" fontId="17" fillId="2" borderId="2" xfId="0" applyFont="1" applyFill="1" applyBorder="1" applyAlignment="1">
      <alignment vertical="center"/>
    </xf>
    <xf numFmtId="164" fontId="17" fillId="2" borderId="2" xfId="0" applyNumberFormat="1" applyFont="1" applyFill="1" applyBorder="1" applyAlignment="1">
      <alignment vertical="center"/>
    </xf>
    <xf numFmtId="0" fontId="17" fillId="2" borderId="1" xfId="0" applyFont="1" applyFill="1" applyBorder="1" applyAlignment="1">
      <alignment vertical="center"/>
    </xf>
    <xf numFmtId="0" fontId="17" fillId="2" borderId="15" xfId="0" applyFont="1" applyFill="1" applyBorder="1" applyAlignment="1">
      <alignment vertical="center"/>
    </xf>
    <xf numFmtId="0" fontId="17" fillId="2" borderId="12" xfId="0" applyFont="1" applyFill="1" applyBorder="1" applyAlignment="1">
      <alignment vertical="center"/>
    </xf>
    <xf numFmtId="0" fontId="17" fillId="2" borderId="11" xfId="0" applyFont="1" applyFill="1" applyBorder="1" applyAlignment="1">
      <alignment vertical="center"/>
    </xf>
    <xf numFmtId="164" fontId="17" fillId="2" borderId="11" xfId="0" applyNumberFormat="1" applyFont="1" applyFill="1" applyBorder="1" applyAlignment="1">
      <alignment vertical="center"/>
    </xf>
    <xf numFmtId="0" fontId="17" fillId="2" borderId="10" xfId="0" applyFont="1" applyFill="1" applyBorder="1" applyAlignment="1">
      <alignment vertical="center"/>
    </xf>
    <xf numFmtId="0" fontId="17" fillId="2" borderId="35" xfId="0" applyFont="1" applyFill="1" applyBorder="1" applyAlignment="1">
      <alignment vertical="center"/>
    </xf>
    <xf numFmtId="166" fontId="17" fillId="2" borderId="11" xfId="2" applyNumberFormat="1" applyFont="1" applyFill="1" applyBorder="1" applyAlignment="1">
      <alignment vertical="center" readingOrder="1"/>
    </xf>
    <xf numFmtId="0" fontId="17" fillId="2" borderId="7" xfId="0" applyFont="1" applyFill="1" applyBorder="1" applyAlignment="1">
      <alignment vertical="center"/>
    </xf>
    <xf numFmtId="0" fontId="17" fillId="2" borderId="6" xfId="0" applyFont="1" applyFill="1" applyBorder="1" applyAlignment="1">
      <alignment vertical="center"/>
    </xf>
    <xf numFmtId="0" fontId="17" fillId="2" borderId="5" xfId="0" applyFont="1" applyFill="1" applyBorder="1" applyAlignment="1">
      <alignment vertical="center"/>
    </xf>
    <xf numFmtId="0" fontId="17" fillId="2" borderId="13" xfId="0" applyFont="1" applyFill="1" applyBorder="1" applyAlignment="1">
      <alignment vertical="center"/>
    </xf>
    <xf numFmtId="0" fontId="17" fillId="2" borderId="6" xfId="0" applyFont="1" applyFill="1" applyBorder="1" applyAlignment="1">
      <alignment vertical="center" readingOrder="1"/>
    </xf>
    <xf numFmtId="0" fontId="11" fillId="2" borderId="3" xfId="0" applyFont="1" applyFill="1" applyBorder="1" applyAlignment="1">
      <alignment vertical="center"/>
    </xf>
    <xf numFmtId="0" fontId="11" fillId="2" borderId="2" xfId="0" applyFont="1" applyFill="1" applyBorder="1" applyAlignment="1">
      <alignment vertical="center"/>
    </xf>
    <xf numFmtId="0" fontId="11" fillId="5" borderId="2" xfId="0" applyFont="1" applyFill="1" applyBorder="1" applyAlignment="1">
      <alignment vertical="center"/>
    </xf>
    <xf numFmtId="0" fontId="11" fillId="5" borderId="1" xfId="0" applyFont="1" applyFill="1" applyBorder="1" applyAlignment="1">
      <alignment vertical="center"/>
    </xf>
    <xf numFmtId="9" fontId="50" fillId="2" borderId="0" xfId="1" applyFont="1" applyFill="1" applyAlignment="1">
      <alignment horizontal="center" vertical="center"/>
    </xf>
    <xf numFmtId="0" fontId="17" fillId="2" borderId="9" xfId="0" applyFont="1" applyFill="1" applyBorder="1" applyAlignment="1">
      <alignment vertical="center"/>
    </xf>
    <xf numFmtId="0" fontId="17" fillId="2" borderId="8" xfId="0" applyFont="1" applyFill="1" applyBorder="1" applyAlignment="1">
      <alignment vertical="center"/>
    </xf>
    <xf numFmtId="0" fontId="17" fillId="2" borderId="0" xfId="0" applyFont="1" applyFill="1" applyAlignment="1">
      <alignment horizontal="right" vertical="center"/>
    </xf>
    <xf numFmtId="0" fontId="17" fillId="2" borderId="9" xfId="0" applyFont="1" applyFill="1" applyBorder="1" applyAlignment="1">
      <alignment horizontal="right" vertical="center"/>
    </xf>
    <xf numFmtId="9" fontId="17" fillId="2" borderId="0" xfId="0" applyNumberFormat="1" applyFont="1" applyFill="1" applyAlignment="1">
      <alignment vertical="center" readingOrder="1"/>
    </xf>
    <xf numFmtId="0" fontId="13" fillId="2" borderId="0" xfId="0" applyFont="1" applyFill="1" applyAlignment="1">
      <alignment horizontal="right" vertical="center"/>
    </xf>
    <xf numFmtId="0" fontId="40" fillId="2" borderId="0" xfId="0" applyFont="1" applyFill="1"/>
    <xf numFmtId="0" fontId="39" fillId="2" borderId="3" xfId="0" applyFont="1" applyFill="1" applyBorder="1" applyAlignment="1">
      <alignment horizontal="right"/>
    </xf>
    <xf numFmtId="2" fontId="39" fillId="2" borderId="1" xfId="0" applyNumberFormat="1" applyFont="1" applyFill="1" applyBorder="1" applyAlignment="1">
      <alignment horizontal="left"/>
    </xf>
    <xf numFmtId="0" fontId="5" fillId="2" borderId="3" xfId="0" applyFont="1" applyFill="1" applyBorder="1"/>
    <xf numFmtId="0" fontId="5" fillId="2" borderId="2" xfId="0" applyFont="1" applyFill="1" applyBorder="1"/>
    <xf numFmtId="2" fontId="5" fillId="2" borderId="2" xfId="0" applyNumberFormat="1" applyFont="1" applyFill="1" applyBorder="1" applyAlignment="1">
      <alignment horizontal="center"/>
    </xf>
    <xf numFmtId="0" fontId="5" fillId="2" borderId="1" xfId="0" applyFont="1" applyFill="1" applyBorder="1"/>
    <xf numFmtId="1" fontId="5" fillId="2" borderId="3" xfId="0" applyNumberFormat="1" applyFont="1" applyFill="1" applyBorder="1"/>
    <xf numFmtId="1" fontId="5" fillId="2" borderId="2" xfId="0" applyNumberFormat="1" applyFont="1" applyFill="1" applyBorder="1"/>
    <xf numFmtId="0" fontId="51" fillId="2" borderId="9" xfId="0" applyFont="1" applyFill="1" applyBorder="1"/>
    <xf numFmtId="0" fontId="51" fillId="2" borderId="0" xfId="0" applyFont="1" applyFill="1"/>
    <xf numFmtId="1" fontId="51" fillId="2" borderId="0" xfId="0" applyNumberFormat="1" applyFont="1" applyFill="1"/>
    <xf numFmtId="0" fontId="51" fillId="2" borderId="8" xfId="0" applyFont="1" applyFill="1" applyBorder="1"/>
    <xf numFmtId="0" fontId="5" fillId="2" borderId="12" xfId="0" applyFont="1" applyFill="1" applyBorder="1"/>
    <xf numFmtId="0" fontId="5" fillId="2" borderId="11" xfId="0" applyFont="1" applyFill="1" applyBorder="1"/>
    <xf numFmtId="0" fontId="5" fillId="2" borderId="10" xfId="0" applyFont="1" applyFill="1" applyBorder="1"/>
    <xf numFmtId="0" fontId="5" fillId="2" borderId="9" xfId="0" applyFont="1" applyFill="1" applyBorder="1"/>
    <xf numFmtId="0" fontId="5" fillId="2" borderId="8" xfId="0" applyFont="1" applyFill="1" applyBorder="1"/>
    <xf numFmtId="9" fontId="10" fillId="2" borderId="0" xfId="1" applyFont="1" applyFill="1"/>
    <xf numFmtId="9" fontId="10" fillId="2" borderId="0" xfId="1" applyFont="1" applyFill="1" applyAlignment="1">
      <alignment vertical="center"/>
    </xf>
    <xf numFmtId="0" fontId="5" fillId="2" borderId="0" xfId="0" applyFont="1" applyFill="1" applyAlignment="1">
      <alignment vertical="center"/>
    </xf>
    <xf numFmtId="0" fontId="38" fillId="2" borderId="0" xfId="0" applyFont="1" applyFill="1" applyAlignment="1">
      <alignment vertical="center"/>
    </xf>
    <xf numFmtId="0" fontId="38" fillId="2" borderId="11" xfId="0" applyFont="1" applyFill="1" applyBorder="1" applyAlignment="1">
      <alignment vertical="center"/>
    </xf>
    <xf numFmtId="0" fontId="5" fillId="2" borderId="2" xfId="0" applyFont="1" applyFill="1" applyBorder="1" applyAlignment="1">
      <alignment vertical="center"/>
    </xf>
    <xf numFmtId="0" fontId="5" fillId="2" borderId="11" xfId="0" applyFont="1" applyFill="1" applyBorder="1" applyAlignment="1">
      <alignment vertical="center"/>
    </xf>
    <xf numFmtId="0" fontId="52" fillId="2" borderId="0" xfId="0" applyFont="1" applyFill="1" applyAlignment="1">
      <alignment vertical="center"/>
    </xf>
    <xf numFmtId="0" fontId="0" fillId="14" borderId="0" xfId="0" applyFill="1"/>
    <xf numFmtId="0" fontId="53" fillId="14" borderId="0" xfId="0" applyFont="1" applyFill="1"/>
    <xf numFmtId="0" fontId="54" fillId="2" borderId="0" xfId="0" applyFont="1" applyFill="1" applyAlignment="1">
      <alignment vertical="center"/>
    </xf>
    <xf numFmtId="0" fontId="11" fillId="2" borderId="3" xfId="0" applyFont="1" applyFill="1" applyBorder="1"/>
    <xf numFmtId="1" fontId="12" fillId="10" borderId="29" xfId="0" applyNumberFormat="1" applyFont="1" applyFill="1" applyBorder="1" applyAlignment="1">
      <alignment horizontal="center" vertical="center"/>
    </xf>
    <xf numFmtId="0" fontId="11" fillId="2" borderId="5" xfId="0" applyFont="1" applyFill="1" applyBorder="1"/>
    <xf numFmtId="0" fontId="11" fillId="2" borderId="6" xfId="0" applyFont="1" applyFill="1" applyBorder="1" applyAlignment="1">
      <alignment horizontal="center"/>
    </xf>
    <xf numFmtId="0" fontId="11" fillId="2" borderId="7" xfId="0" applyFont="1" applyFill="1" applyBorder="1"/>
    <xf numFmtId="0" fontId="11" fillId="2" borderId="8" xfId="0" applyFont="1" applyFill="1" applyBorder="1"/>
    <xf numFmtId="0" fontId="11" fillId="2" borderId="0" xfId="0" applyFont="1" applyFill="1" applyAlignment="1">
      <alignment horizontal="center"/>
    </xf>
    <xf numFmtId="0" fontId="11" fillId="2" borderId="9" xfId="0" applyFont="1" applyFill="1" applyBorder="1"/>
    <xf numFmtId="9" fontId="11" fillId="2" borderId="0" xfId="1" applyFont="1" applyFill="1" applyBorder="1" applyAlignment="1">
      <alignment horizontal="center"/>
    </xf>
    <xf numFmtId="0" fontId="55" fillId="2" borderId="9" xfId="0" applyFont="1" applyFill="1" applyBorder="1" applyAlignment="1">
      <alignment horizontal="center"/>
    </xf>
    <xf numFmtId="0" fontId="11" fillId="2" borderId="10" xfId="0" applyFont="1" applyFill="1" applyBorder="1"/>
    <xf numFmtId="0" fontId="11" fillId="2" borderId="11" xfId="0" applyFont="1" applyFill="1" applyBorder="1" applyAlignment="1">
      <alignment horizontal="center"/>
    </xf>
    <xf numFmtId="0" fontId="11" fillId="2" borderId="12" xfId="0" applyFont="1" applyFill="1" applyBorder="1"/>
    <xf numFmtId="0" fontId="17" fillId="2" borderId="36" xfId="0" applyFont="1" applyFill="1" applyBorder="1" applyAlignment="1">
      <alignment vertical="center"/>
    </xf>
    <xf numFmtId="0" fontId="17" fillId="2" borderId="4" xfId="0" applyFont="1" applyFill="1" applyBorder="1" applyAlignment="1">
      <alignment vertical="center" readingOrder="1"/>
    </xf>
    <xf numFmtId="0" fontId="17" fillId="2" borderId="37" xfId="0" applyFont="1" applyFill="1" applyBorder="1" applyAlignment="1">
      <alignment vertical="center"/>
    </xf>
    <xf numFmtId="0" fontId="5" fillId="2" borderId="5" xfId="0" applyFont="1" applyFill="1" applyBorder="1" applyAlignment="1">
      <alignment vertical="center"/>
    </xf>
    <xf numFmtId="9" fontId="5" fillId="2" borderId="6" xfId="0" applyNumberFormat="1" applyFont="1" applyFill="1" applyBorder="1" applyAlignment="1">
      <alignment vertical="center"/>
    </xf>
    <xf numFmtId="0" fontId="5" fillId="2" borderId="7" xfId="0" applyFont="1" applyFill="1" applyBorder="1" applyAlignment="1">
      <alignment vertical="center"/>
    </xf>
    <xf numFmtId="0" fontId="5" fillId="2" borderId="8" xfId="0" applyFont="1" applyFill="1" applyBorder="1" applyAlignment="1">
      <alignment vertical="center"/>
    </xf>
    <xf numFmtId="0" fontId="5" fillId="2" borderId="9" xfId="0" applyFont="1" applyFill="1" applyBorder="1" applyAlignment="1">
      <alignment vertical="center"/>
    </xf>
    <xf numFmtId="8" fontId="0" fillId="2" borderId="0" xfId="0" applyNumberFormat="1" applyFill="1"/>
    <xf numFmtId="9" fontId="6" fillId="2" borderId="0" xfId="0" applyNumberFormat="1" applyFont="1" applyFill="1" applyAlignment="1">
      <alignment vertical="center"/>
    </xf>
    <xf numFmtId="167" fontId="33" fillId="2" borderId="32" xfId="0" applyNumberFormat="1" applyFont="1" applyFill="1" applyBorder="1" applyAlignment="1">
      <alignment horizontal="center" vertical="center"/>
    </xf>
    <xf numFmtId="9" fontId="27" fillId="2" borderId="0" xfId="1" applyFont="1" applyFill="1" applyBorder="1" applyAlignment="1">
      <alignment horizontal="right" vertical="center"/>
    </xf>
    <xf numFmtId="0" fontId="20" fillId="2" borderId="0" xfId="0" applyFont="1" applyFill="1" applyAlignment="1">
      <alignment horizontal="center" vertical="center"/>
    </xf>
    <xf numFmtId="0" fontId="10" fillId="2" borderId="0" xfId="0" applyFont="1" applyFill="1" applyAlignment="1">
      <alignment vertical="center" wrapText="1"/>
    </xf>
    <xf numFmtId="164" fontId="20" fillId="2" borderId="0" xfId="0" applyNumberFormat="1" applyFont="1" applyFill="1" applyAlignment="1">
      <alignment horizontal="center" vertical="center"/>
    </xf>
    <xf numFmtId="0" fontId="9" fillId="2" borderId="0" xfId="0" applyFont="1" applyFill="1" applyAlignment="1">
      <alignment vertical="center" wrapText="1"/>
    </xf>
    <xf numFmtId="2" fontId="11" fillId="2" borderId="0" xfId="0" applyNumberFormat="1" applyFont="1" applyFill="1" applyAlignment="1">
      <alignment horizontal="center" vertical="center"/>
    </xf>
    <xf numFmtId="164" fontId="11" fillId="2" borderId="12" xfId="0" applyNumberFormat="1" applyFont="1" applyFill="1" applyBorder="1" applyAlignment="1">
      <alignment horizontal="center" vertical="center"/>
    </xf>
    <xf numFmtId="164" fontId="17" fillId="2" borderId="0" xfId="0" applyNumberFormat="1" applyFont="1" applyFill="1" applyAlignment="1">
      <alignment horizontal="center" vertical="center"/>
    </xf>
    <xf numFmtId="0" fontId="59" fillId="2" borderId="38" xfId="0" applyFont="1" applyFill="1" applyBorder="1"/>
    <xf numFmtId="0" fontId="0" fillId="2" borderId="39" xfId="0" applyFill="1" applyBorder="1"/>
    <xf numFmtId="0" fontId="0" fillId="2" borderId="40" xfId="0" applyFill="1" applyBorder="1"/>
    <xf numFmtId="0" fontId="55" fillId="2" borderId="41" xfId="0" applyFont="1" applyFill="1" applyBorder="1"/>
    <xf numFmtId="0" fontId="0" fillId="2" borderId="42" xfId="0" applyFill="1" applyBorder="1"/>
    <xf numFmtId="0" fontId="19" fillId="2" borderId="41" xfId="0" applyFont="1" applyFill="1" applyBorder="1" applyAlignment="1">
      <alignment horizontal="left" indent="1"/>
    </xf>
    <xf numFmtId="0" fontId="19" fillId="2" borderId="0" xfId="0" applyFont="1" applyFill="1" applyAlignment="1">
      <alignment vertical="center"/>
    </xf>
    <xf numFmtId="0" fontId="19" fillId="2" borderId="0" xfId="0" applyFont="1" applyFill="1" applyAlignment="1">
      <alignment horizontal="center" vertical="center"/>
    </xf>
    <xf numFmtId="166" fontId="19" fillId="2" borderId="0" xfId="2" applyNumberFormat="1" applyFont="1" applyFill="1" applyBorder="1" applyAlignment="1">
      <alignment vertical="center"/>
    </xf>
    <xf numFmtId="0" fontId="0" fillId="2" borderId="41" xfId="0" applyFill="1" applyBorder="1"/>
    <xf numFmtId="0" fontId="0" fillId="2" borderId="0" xfId="0" applyFill="1" applyAlignment="1">
      <alignment horizontal="center" vertical="center"/>
    </xf>
    <xf numFmtId="0" fontId="0" fillId="2" borderId="42" xfId="0" applyFill="1" applyBorder="1" applyAlignment="1">
      <alignment horizontal="center" vertical="center"/>
    </xf>
    <xf numFmtId="6" fontId="0" fillId="2" borderId="0" xfId="0" applyNumberFormat="1" applyFill="1" applyAlignment="1">
      <alignment horizontal="center" vertical="center"/>
    </xf>
    <xf numFmtId="6" fontId="0" fillId="2" borderId="42" xfId="0" applyNumberFormat="1" applyFill="1" applyBorder="1" applyAlignment="1">
      <alignment horizontal="center" vertical="center"/>
    </xf>
    <xf numFmtId="0" fontId="19" fillId="2" borderId="41" xfId="0" applyFont="1" applyFill="1" applyBorder="1" applyAlignment="1">
      <alignment horizontal="right" vertical="center"/>
    </xf>
    <xf numFmtId="6" fontId="19" fillId="2" borderId="0" xfId="0" applyNumberFormat="1" applyFont="1" applyFill="1"/>
    <xf numFmtId="0" fontId="19" fillId="2" borderId="43" xfId="0" applyFont="1" applyFill="1" applyBorder="1" applyAlignment="1">
      <alignment horizontal="right" vertical="center"/>
    </xf>
    <xf numFmtId="6" fontId="0" fillId="2" borderId="4" xfId="0" applyNumberFormat="1" applyFill="1" applyBorder="1"/>
    <xf numFmtId="0" fontId="0" fillId="2" borderId="4" xfId="0" applyFill="1" applyBorder="1"/>
    <xf numFmtId="0" fontId="0" fillId="2" borderId="44" xfId="0" applyFill="1" applyBorder="1"/>
    <xf numFmtId="0" fontId="59" fillId="2" borderId="38" xfId="0" applyFont="1" applyFill="1" applyBorder="1" applyAlignment="1">
      <alignment vertical="top"/>
    </xf>
    <xf numFmtId="0" fontId="0" fillId="2" borderId="39" xfId="0" applyFill="1" applyBorder="1" applyAlignment="1">
      <alignment vertical="top"/>
    </xf>
    <xf numFmtId="0" fontId="0" fillId="2" borderId="40" xfId="0" applyFill="1" applyBorder="1" applyAlignment="1">
      <alignment vertical="top"/>
    </xf>
    <xf numFmtId="0" fontId="0" fillId="2" borderId="0" xfId="0" applyFill="1" applyAlignment="1">
      <alignment vertical="top"/>
    </xf>
    <xf numFmtId="0" fontId="19" fillId="2" borderId="41" xfId="0" applyFont="1" applyFill="1" applyBorder="1"/>
    <xf numFmtId="0" fontId="0" fillId="2" borderId="43" xfId="0" applyFill="1" applyBorder="1"/>
    <xf numFmtId="0" fontId="60" fillId="3" borderId="45" xfId="0" applyFont="1" applyFill="1" applyBorder="1" applyAlignment="1">
      <alignment vertical="center" readingOrder="1"/>
    </xf>
    <xf numFmtId="9" fontId="48" fillId="3" borderId="46" xfId="1" applyFont="1" applyFill="1" applyBorder="1" applyAlignment="1">
      <alignment horizontal="center" vertical="center"/>
    </xf>
    <xf numFmtId="6" fontId="0" fillId="2" borderId="0" xfId="0" applyNumberFormat="1" applyFill="1"/>
    <xf numFmtId="165" fontId="0" fillId="2" borderId="0" xfId="0" applyNumberFormat="1" applyFill="1"/>
    <xf numFmtId="0" fontId="0" fillId="3" borderId="0" xfId="0" applyFill="1"/>
    <xf numFmtId="166" fontId="19" fillId="2" borderId="0" xfId="2" applyNumberFormat="1" applyFont="1" applyFill="1" applyBorder="1" applyAlignment="1">
      <alignment horizontal="right" vertical="center"/>
    </xf>
    <xf numFmtId="0" fontId="62" fillId="2" borderId="41" xfId="3" applyFont="1" applyFill="1" applyBorder="1" applyAlignment="1">
      <alignment horizontal="right" vertical="center"/>
    </xf>
    <xf numFmtId="6" fontId="0" fillId="2" borderId="0" xfId="0" applyNumberFormat="1" applyFill="1" applyAlignment="1">
      <alignment horizontal="left"/>
    </xf>
    <xf numFmtId="0" fontId="55" fillId="2" borderId="38" xfId="0" applyFont="1" applyFill="1" applyBorder="1"/>
    <xf numFmtId="0" fontId="19" fillId="2" borderId="0" xfId="0" applyFont="1" applyFill="1" applyBorder="1" applyAlignment="1">
      <alignment horizontal="right" vertical="center"/>
    </xf>
    <xf numFmtId="0" fontId="19" fillId="2" borderId="0" xfId="0" applyFont="1" applyFill="1" applyBorder="1" applyAlignment="1">
      <alignment horizontal="left" vertical="center"/>
    </xf>
    <xf numFmtId="0" fontId="0" fillId="2" borderId="0" xfId="0" applyFill="1" applyBorder="1"/>
    <xf numFmtId="0" fontId="0" fillId="2" borderId="0" xfId="0" applyFill="1" applyBorder="1" applyAlignment="1">
      <alignment horizontal="center" vertical="center"/>
    </xf>
    <xf numFmtId="166" fontId="0" fillId="2" borderId="0" xfId="0" applyNumberFormat="1" applyFill="1" applyBorder="1" applyAlignment="1">
      <alignment horizontal="center" vertical="center"/>
    </xf>
    <xf numFmtId="6" fontId="0" fillId="2" borderId="0" xfId="0" applyNumberFormat="1" applyFill="1" applyBorder="1" applyAlignment="1">
      <alignment horizontal="center" vertical="center"/>
    </xf>
    <xf numFmtId="8" fontId="0" fillId="2" borderId="0" xfId="0" applyNumberFormat="1" applyFill="1" applyBorder="1"/>
    <xf numFmtId="6" fontId="0" fillId="2" borderId="0" xfId="0" applyNumberFormat="1" applyFill="1" applyBorder="1"/>
    <xf numFmtId="6" fontId="0" fillId="2" borderId="42" xfId="0" applyNumberFormat="1" applyFill="1" applyBorder="1" applyAlignment="1">
      <alignment horizontal="center"/>
    </xf>
    <xf numFmtId="6" fontId="19" fillId="2" borderId="0" xfId="0" applyNumberFormat="1" applyFont="1" applyFill="1" applyBorder="1" applyAlignment="1">
      <alignment horizontal="left"/>
    </xf>
    <xf numFmtId="0" fontId="3" fillId="2" borderId="0" xfId="0" applyFont="1" applyFill="1"/>
    <xf numFmtId="0" fontId="3" fillId="15" borderId="0" xfId="0" applyFont="1" applyFill="1"/>
    <xf numFmtId="0" fontId="3" fillId="2" borderId="5" xfId="0" applyFont="1" applyFill="1" applyBorder="1" applyAlignment="1">
      <alignment vertical="center"/>
    </xf>
    <xf numFmtId="0" fontId="3" fillId="2" borderId="6" xfId="0" applyFont="1" applyFill="1" applyBorder="1" applyAlignment="1">
      <alignment horizontal="center" vertical="center"/>
    </xf>
    <xf numFmtId="0" fontId="3" fillId="2" borderId="7" xfId="0" applyFont="1" applyFill="1" applyBorder="1" applyAlignment="1">
      <alignment vertical="center"/>
    </xf>
    <xf numFmtId="0" fontId="3" fillId="2" borderId="0" xfId="0" applyFont="1" applyFill="1" applyAlignment="1">
      <alignment vertical="center"/>
    </xf>
    <xf numFmtId="0" fontId="3" fillId="2" borderId="8" xfId="0" applyFont="1" applyFill="1" applyBorder="1" applyAlignment="1">
      <alignment vertical="center"/>
    </xf>
    <xf numFmtId="0" fontId="3" fillId="2" borderId="0" xfId="0" applyFont="1" applyFill="1" applyAlignment="1">
      <alignment horizontal="center" vertical="center"/>
    </xf>
    <xf numFmtId="0" fontId="3" fillId="2" borderId="9" xfId="0" applyFont="1" applyFill="1" applyBorder="1" applyAlignment="1">
      <alignment vertical="center"/>
    </xf>
    <xf numFmtId="0" fontId="3" fillId="2" borderId="10" xfId="0" applyFont="1" applyFill="1" applyBorder="1" applyAlignment="1">
      <alignment vertical="center"/>
    </xf>
    <xf numFmtId="0" fontId="3" fillId="2" borderId="11" xfId="0" applyFont="1" applyFill="1" applyBorder="1" applyAlignment="1">
      <alignment horizontal="center" vertical="center"/>
    </xf>
    <xf numFmtId="0" fontId="3" fillId="2" borderId="12" xfId="0" applyFont="1" applyFill="1" applyBorder="1" applyAlignment="1">
      <alignment vertical="center"/>
    </xf>
    <xf numFmtId="9" fontId="8" fillId="2" borderId="0" xfId="1" applyFont="1" applyFill="1" applyAlignment="1">
      <alignment vertical="center"/>
    </xf>
    <xf numFmtId="0" fontId="3" fillId="2" borderId="6" xfId="0" applyFont="1" applyFill="1" applyBorder="1" applyAlignment="1">
      <alignment vertical="center"/>
    </xf>
    <xf numFmtId="0" fontId="10" fillId="2" borderId="13" xfId="0" applyFont="1" applyFill="1" applyBorder="1" applyAlignment="1">
      <alignment vertical="center"/>
    </xf>
    <xf numFmtId="0" fontId="10" fillId="2" borderId="14" xfId="0" applyFont="1" applyFill="1" applyBorder="1" applyAlignment="1">
      <alignment vertical="center"/>
    </xf>
    <xf numFmtId="164" fontId="3" fillId="2" borderId="0" xfId="0" applyNumberFormat="1" applyFont="1" applyFill="1" applyAlignment="1">
      <alignment vertical="center"/>
    </xf>
    <xf numFmtId="164" fontId="3" fillId="2" borderId="9" xfId="0" applyNumberFormat="1" applyFont="1" applyFill="1" applyBorder="1" applyAlignment="1">
      <alignment vertical="center"/>
    </xf>
    <xf numFmtId="0" fontId="10" fillId="2" borderId="14" xfId="0" applyFont="1" applyFill="1" applyBorder="1" applyAlignment="1">
      <alignment horizontal="right" vertical="center" readingOrder="2"/>
    </xf>
    <xf numFmtId="166" fontId="3" fillId="2" borderId="9" xfId="0" applyNumberFormat="1" applyFont="1" applyFill="1" applyBorder="1" applyAlignment="1">
      <alignment vertical="center"/>
    </xf>
    <xf numFmtId="0" fontId="3" fillId="2" borderId="15" xfId="0" applyFont="1" applyFill="1" applyBorder="1" applyAlignment="1">
      <alignment horizontal="right" vertical="center"/>
    </xf>
    <xf numFmtId="0" fontId="3" fillId="2" borderId="1" xfId="0" applyFont="1" applyFill="1" applyBorder="1" applyAlignment="1">
      <alignment vertical="center"/>
    </xf>
    <xf numFmtId="0" fontId="3" fillId="2" borderId="2" xfId="0" applyFont="1" applyFill="1" applyBorder="1" applyAlignment="1">
      <alignment vertical="center"/>
    </xf>
    <xf numFmtId="164" fontId="3" fillId="2" borderId="2" xfId="0" applyNumberFormat="1" applyFont="1" applyFill="1" applyBorder="1" applyAlignment="1">
      <alignment vertical="center"/>
    </xf>
    <xf numFmtId="164" fontId="3" fillId="2" borderId="3" xfId="0" applyNumberFormat="1" applyFont="1" applyFill="1" applyBorder="1" applyAlignment="1">
      <alignment vertical="center"/>
    </xf>
    <xf numFmtId="0" fontId="63" fillId="16" borderId="1" xfId="0" applyFont="1" applyFill="1" applyBorder="1" applyAlignment="1">
      <alignment vertical="center"/>
    </xf>
    <xf numFmtId="172" fontId="63" fillId="16" borderId="2" xfId="0" applyNumberFormat="1" applyFont="1" applyFill="1" applyBorder="1" applyAlignment="1">
      <alignment horizontal="left" vertical="center"/>
    </xf>
    <xf numFmtId="0" fontId="63" fillId="16" borderId="3" xfId="0" applyFont="1" applyFill="1" applyBorder="1" applyAlignment="1">
      <alignment horizontal="center" vertical="center"/>
    </xf>
    <xf numFmtId="0" fontId="3" fillId="2" borderId="1" xfId="0" applyFont="1" applyFill="1" applyBorder="1" applyAlignment="1">
      <alignment horizontal="right" vertical="center"/>
    </xf>
    <xf numFmtId="2" fontId="3" fillId="2" borderId="3" xfId="0" applyNumberFormat="1" applyFont="1" applyFill="1" applyBorder="1" applyAlignment="1">
      <alignment horizontal="left" vertical="center"/>
    </xf>
    <xf numFmtId="0" fontId="64" fillId="14" borderId="0" xfId="0" applyFont="1" applyFill="1"/>
    <xf numFmtId="0" fontId="30" fillId="9" borderId="0" xfId="0" applyFont="1" applyFill="1" applyAlignment="1">
      <alignment horizontal="center"/>
    </xf>
    <xf numFmtId="0" fontId="9" fillId="2" borderId="0" xfId="0" applyFont="1" applyFill="1" applyAlignment="1">
      <alignment horizontal="left" vertical="center"/>
    </xf>
    <xf numFmtId="0" fontId="9" fillId="2" borderId="9" xfId="0" applyFont="1" applyFill="1" applyBorder="1" applyAlignment="1">
      <alignment horizontal="left"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2" borderId="0" xfId="0" applyFont="1" applyFill="1" applyAlignment="1">
      <alignment horizontal="right" vertical="center" wrapText="1"/>
    </xf>
    <xf numFmtId="0" fontId="10" fillId="2" borderId="0" xfId="0" applyFont="1" applyFill="1" applyAlignment="1">
      <alignment horizontal="right" vertical="center" wrapText="1"/>
    </xf>
    <xf numFmtId="0" fontId="11" fillId="2" borderId="10" xfId="0" applyFont="1" applyFill="1" applyBorder="1" applyAlignment="1">
      <alignment horizontal="right" vertical="center" wrapText="1"/>
    </xf>
    <xf numFmtId="0" fontId="11" fillId="2" borderId="11" xfId="0" applyFont="1" applyFill="1" applyBorder="1" applyAlignment="1">
      <alignment horizontal="right" vertical="center" wrapText="1"/>
    </xf>
    <xf numFmtId="0" fontId="22" fillId="7" borderId="0" xfId="0" applyFont="1" applyFill="1" applyAlignment="1">
      <alignment horizontal="center" vertical="center"/>
    </xf>
    <xf numFmtId="0" fontId="42" fillId="0" borderId="0" xfId="0" applyFont="1" applyAlignment="1">
      <alignment vertical="center" wrapText="1" readingOrder="2"/>
    </xf>
    <xf numFmtId="8" fontId="9" fillId="2" borderId="34" xfId="0" applyNumberFormat="1" applyFont="1" applyFill="1" applyBorder="1" applyAlignment="1">
      <alignment horizontal="left" readingOrder="2"/>
    </xf>
    <xf numFmtId="8" fontId="9" fillId="2" borderId="33" xfId="0" applyNumberFormat="1" applyFont="1" applyFill="1" applyBorder="1" applyAlignment="1">
      <alignment horizontal="left" readingOrder="2"/>
    </xf>
    <xf numFmtId="8" fontId="11" fillId="2" borderId="1" xfId="0" applyNumberFormat="1" applyFont="1" applyFill="1" applyBorder="1" applyAlignment="1">
      <alignment horizontal="left" vertical="center" readingOrder="2"/>
    </xf>
    <xf numFmtId="8" fontId="11" fillId="2" borderId="2" xfId="0" applyNumberFormat="1" applyFont="1" applyFill="1" applyBorder="1" applyAlignment="1">
      <alignment horizontal="left" vertical="center" readingOrder="2"/>
    </xf>
    <xf numFmtId="0" fontId="11" fillId="2" borderId="0" xfId="0" applyFont="1" applyFill="1" applyAlignment="1">
      <alignment horizontal="right" vertical="center" wrapText="1" readingOrder="2"/>
    </xf>
    <xf numFmtId="0" fontId="17" fillId="2" borderId="6" xfId="0" applyFont="1" applyFill="1" applyBorder="1" applyAlignment="1">
      <alignment horizontal="right" vertical="center" readingOrder="2"/>
    </xf>
    <xf numFmtId="0" fontId="17" fillId="2" borderId="7" xfId="0" applyFont="1" applyFill="1" applyBorder="1" applyAlignment="1">
      <alignment horizontal="right" vertical="center" readingOrder="2"/>
    </xf>
    <xf numFmtId="0" fontId="17" fillId="2" borderId="11" xfId="0" applyFont="1" applyFill="1" applyBorder="1" applyAlignment="1">
      <alignment horizontal="right" vertical="center" readingOrder="2"/>
    </xf>
    <xf numFmtId="0" fontId="17" fillId="2" borderId="12" xfId="0" applyFont="1" applyFill="1" applyBorder="1" applyAlignment="1">
      <alignment horizontal="right" vertical="center" readingOrder="2"/>
    </xf>
    <xf numFmtId="0" fontId="6" fillId="2" borderId="0" xfId="0" applyFont="1" applyFill="1" applyAlignment="1">
      <alignment horizontal="right" vertical="center"/>
    </xf>
    <xf numFmtId="0" fontId="5" fillId="2" borderId="0" xfId="0" applyFont="1" applyFill="1" applyAlignment="1">
      <alignment horizontal="right" vertical="center" wrapText="1" readingOrder="2"/>
    </xf>
    <xf numFmtId="0" fontId="5" fillId="2" borderId="11" xfId="0" applyFont="1" applyFill="1" applyBorder="1" applyAlignment="1">
      <alignment horizontal="right" vertical="center" wrapText="1" readingOrder="2"/>
    </xf>
    <xf numFmtId="0" fontId="12" fillId="2" borderId="0" xfId="0" applyFont="1" applyFill="1" applyAlignment="1">
      <alignment horizontal="right" vertical="top" wrapText="1"/>
    </xf>
    <xf numFmtId="0" fontId="10" fillId="2" borderId="1" xfId="0" applyFont="1" applyFill="1" applyBorder="1" applyAlignment="1">
      <alignment horizontal="right" vertical="center" wrapText="1"/>
    </xf>
    <xf numFmtId="0" fontId="10" fillId="2" borderId="2" xfId="0" applyFont="1" applyFill="1" applyBorder="1" applyAlignment="1">
      <alignment horizontal="right" vertical="center" wrapText="1"/>
    </xf>
    <xf numFmtId="0" fontId="11" fillId="2" borderId="1" xfId="0" applyFont="1" applyFill="1" applyBorder="1" applyAlignment="1">
      <alignment horizontal="right" vertical="center" wrapText="1"/>
    </xf>
    <xf numFmtId="0" fontId="11" fillId="2" borderId="2" xfId="0" applyFont="1" applyFill="1" applyBorder="1" applyAlignment="1">
      <alignment horizontal="right" vertical="center" wrapText="1"/>
    </xf>
    <xf numFmtId="8" fontId="9" fillId="2" borderId="1" xfId="0" applyNumberFormat="1" applyFont="1" applyFill="1" applyBorder="1" applyAlignment="1">
      <alignment horizontal="left" vertical="center" readingOrder="2"/>
    </xf>
    <xf numFmtId="8" fontId="9" fillId="2" borderId="2" xfId="0" applyNumberFormat="1" applyFont="1" applyFill="1" applyBorder="1" applyAlignment="1">
      <alignment horizontal="left" vertical="center" readingOrder="2"/>
    </xf>
    <xf numFmtId="0" fontId="36" fillId="0" borderId="0" xfId="0" applyFont="1" applyAlignment="1">
      <alignment horizontal="right" vertical="center" wrapText="1" readingOrder="2"/>
    </xf>
    <xf numFmtId="0" fontId="35" fillId="2" borderId="0" xfId="0" applyFont="1" applyFill="1" applyAlignment="1">
      <alignment horizontal="right" vertical="center" wrapText="1" readingOrder="2"/>
    </xf>
    <xf numFmtId="0" fontId="35" fillId="2" borderId="0" xfId="0" applyFont="1" applyFill="1" applyAlignment="1">
      <alignment horizontal="right" vertical="center" readingOrder="2"/>
    </xf>
    <xf numFmtId="0" fontId="12" fillId="2" borderId="0" xfId="0" applyFont="1" applyFill="1" applyAlignment="1">
      <alignment horizontal="right" vertical="center" wrapText="1" readingOrder="2"/>
    </xf>
    <xf numFmtId="0" fontId="12" fillId="2" borderId="1" xfId="0" applyFont="1" applyFill="1" applyBorder="1" applyAlignment="1">
      <alignment horizontal="left" vertical="center" readingOrder="2"/>
    </xf>
    <xf numFmtId="0" fontId="12" fillId="2" borderId="2" xfId="0" applyFont="1" applyFill="1" applyBorder="1" applyAlignment="1">
      <alignment horizontal="left" vertical="center" readingOrder="2"/>
    </xf>
    <xf numFmtId="0" fontId="13" fillId="8" borderId="5" xfId="0" applyFont="1" applyFill="1" applyBorder="1" applyAlignment="1">
      <alignment horizontal="right" vertical="center"/>
    </xf>
    <xf numFmtId="0" fontId="13" fillId="8" borderId="6" xfId="0" applyFont="1" applyFill="1" applyBorder="1" applyAlignment="1">
      <alignment horizontal="right" vertical="center"/>
    </xf>
    <xf numFmtId="0" fontId="13" fillId="8" borderId="7" xfId="0" applyFont="1" applyFill="1" applyBorder="1" applyAlignment="1">
      <alignment horizontal="right" vertical="center"/>
    </xf>
    <xf numFmtId="0" fontId="40" fillId="2" borderId="0" xfId="0" applyFont="1" applyFill="1" applyAlignment="1">
      <alignment horizontal="right" wrapText="1"/>
    </xf>
    <xf numFmtId="0" fontId="5" fillId="2" borderId="11" xfId="0" applyFont="1" applyFill="1" applyBorder="1" applyAlignment="1">
      <alignment horizontal="right" vertical="center"/>
    </xf>
    <xf numFmtId="0" fontId="52" fillId="2" borderId="0" xfId="0" applyFont="1" applyFill="1" applyAlignment="1">
      <alignment horizontal="right" vertical="center" wrapText="1"/>
    </xf>
    <xf numFmtId="0" fontId="9" fillId="2" borderId="0" xfId="0" applyFont="1" applyFill="1" applyAlignment="1">
      <alignment horizontal="right" vertical="top" wrapText="1" readingOrder="2"/>
    </xf>
    <xf numFmtId="0" fontId="9" fillId="2" borderId="0" xfId="0" applyFont="1" applyFill="1" applyAlignment="1">
      <alignment horizontal="right" vertical="top" readingOrder="2"/>
    </xf>
    <xf numFmtId="0" fontId="58" fillId="2" borderId="4" xfId="0" applyFont="1" applyFill="1" applyBorder="1" applyAlignment="1">
      <alignment horizontal="right" vertical="top" wrapText="1" readingOrder="2"/>
    </xf>
    <xf numFmtId="0" fontId="58" fillId="2" borderId="4" xfId="0" applyFont="1" applyFill="1" applyBorder="1" applyAlignment="1">
      <alignment horizontal="right" vertical="top" readingOrder="2"/>
    </xf>
    <xf numFmtId="9" fontId="0" fillId="0" borderId="0" xfId="0" applyNumberFormat="1"/>
    <xf numFmtId="8" fontId="0" fillId="0" borderId="0" xfId="0" applyNumberFormat="1"/>
  </cellXfs>
  <cellStyles count="4">
    <cellStyle name="Comma" xfId="2" builtinId="3"/>
    <cellStyle name="Hyperlink" xfId="3"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NPV@10%25="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mailto:NPV@3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9:G13"/>
  <sheetViews>
    <sheetView rightToLeft="1" zoomScale="70" zoomScaleNormal="70" workbookViewId="0">
      <selection activeCell="G13" sqref="G13"/>
    </sheetView>
  </sheetViews>
  <sheetFormatPr defaultColWidth="9.109375" defaultRowHeight="14.4"/>
  <cols>
    <col min="1" max="16384" width="9.109375" style="321"/>
  </cols>
  <sheetData>
    <row r="9" spans="4:7" ht="143.4">
      <c r="D9" s="322" t="s">
        <v>108</v>
      </c>
    </row>
    <row r="13" spans="4:7" ht="59.4">
      <c r="G13" s="431" t="s">
        <v>142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9"/>
  <sheetViews>
    <sheetView rightToLeft="1" tabSelected="1" zoomScale="70" zoomScaleNormal="70" workbookViewId="0">
      <selection activeCell="E18" sqref="E18:L20"/>
    </sheetView>
  </sheetViews>
  <sheetFormatPr defaultColWidth="8.88671875" defaultRowHeight="14.4"/>
  <cols>
    <col min="1" max="1" width="19.33203125" style="3" customWidth="1"/>
    <col min="2" max="2" width="7" style="3" customWidth="1"/>
    <col min="3" max="3" width="11.88671875" style="3" customWidth="1"/>
    <col min="4" max="5" width="13.6640625" style="3" customWidth="1"/>
    <col min="6" max="7" width="12.6640625" style="3" customWidth="1"/>
    <col min="8" max="8" width="9.44140625" style="3" bestFit="1" customWidth="1"/>
    <col min="9" max="10" width="8.6640625" style="3" customWidth="1"/>
    <col min="11" max="13" width="9.44140625" style="3" bestFit="1" customWidth="1"/>
    <col min="14" max="14" width="21.6640625" style="3" customWidth="1"/>
    <col min="15" max="15" width="9.44140625" style="3" bestFit="1" customWidth="1"/>
    <col min="16" max="16" width="19.109375" style="3" customWidth="1"/>
    <col min="17" max="16384" width="8.88671875" style="3"/>
  </cols>
  <sheetData>
    <row r="1" spans="1:21" ht="15" customHeight="1">
      <c r="A1" s="438" t="s">
        <v>109</v>
      </c>
      <c r="B1" s="438"/>
      <c r="C1" s="438"/>
      <c r="D1" s="438"/>
      <c r="E1" s="438"/>
      <c r="F1" s="438"/>
      <c r="G1" s="438"/>
      <c r="H1" s="438"/>
      <c r="I1" s="438"/>
      <c r="J1" s="438"/>
      <c r="K1" s="438"/>
      <c r="L1" s="438"/>
      <c r="M1" s="438"/>
      <c r="N1" s="438"/>
      <c r="O1" s="438"/>
      <c r="P1" s="438"/>
      <c r="Q1" s="438"/>
    </row>
    <row r="2" spans="1:21" ht="15" customHeight="1">
      <c r="A2" s="438"/>
      <c r="B2" s="438"/>
      <c r="C2" s="438"/>
      <c r="D2" s="438"/>
      <c r="E2" s="438"/>
      <c r="F2" s="438"/>
      <c r="G2" s="438"/>
      <c r="H2" s="438"/>
      <c r="I2" s="438"/>
      <c r="J2" s="438"/>
      <c r="K2" s="438"/>
      <c r="L2" s="438"/>
      <c r="M2" s="438"/>
      <c r="N2" s="438"/>
      <c r="O2" s="438"/>
      <c r="P2" s="438"/>
      <c r="Q2" s="438"/>
    </row>
    <row r="3" spans="1:21" ht="15" customHeight="1">
      <c r="A3" s="438"/>
      <c r="B3" s="438"/>
      <c r="C3" s="438"/>
      <c r="D3" s="438"/>
      <c r="E3" s="438"/>
      <c r="F3" s="438"/>
      <c r="G3" s="438"/>
      <c r="H3" s="438"/>
      <c r="I3" s="438"/>
      <c r="J3" s="438"/>
      <c r="K3" s="438"/>
      <c r="L3" s="438"/>
      <c r="M3" s="438"/>
      <c r="N3" s="438"/>
      <c r="O3" s="438"/>
      <c r="P3" s="438"/>
      <c r="Q3" s="438"/>
    </row>
    <row r="4" spans="1:21" ht="66" customHeight="1">
      <c r="A4" s="438"/>
      <c r="B4" s="438"/>
      <c r="C4" s="438"/>
      <c r="D4" s="438"/>
      <c r="E4" s="438"/>
      <c r="F4" s="438"/>
      <c r="G4" s="438"/>
      <c r="H4" s="438"/>
      <c r="I4" s="438"/>
      <c r="J4" s="438"/>
      <c r="K4" s="438"/>
      <c r="L4" s="438"/>
      <c r="M4" s="438"/>
      <c r="N4" s="438"/>
      <c r="O4" s="438"/>
      <c r="P4" s="438"/>
      <c r="Q4" s="438"/>
    </row>
    <row r="5" spans="1:21" s="115" customFormat="1" ht="8.25" customHeight="1">
      <c r="A5" s="432"/>
      <c r="B5" s="432"/>
      <c r="C5" s="432"/>
      <c r="D5" s="432"/>
      <c r="E5" s="432"/>
      <c r="F5" s="432"/>
      <c r="G5" s="432"/>
      <c r="H5" s="432"/>
      <c r="I5" s="432"/>
      <c r="J5" s="432"/>
      <c r="K5" s="432"/>
      <c r="L5" s="432"/>
      <c r="M5" s="432"/>
      <c r="N5" s="432"/>
      <c r="O5" s="432"/>
      <c r="P5" s="432"/>
      <c r="Q5" s="432"/>
      <c r="R5" s="432"/>
      <c r="S5" s="432"/>
      <c r="T5" s="432"/>
      <c r="U5" s="432"/>
    </row>
    <row r="6" spans="1:21" ht="28.5" customHeight="1">
      <c r="A6" s="114" t="s">
        <v>35</v>
      </c>
      <c r="B6" s="113"/>
      <c r="C6" s="113"/>
    </row>
    <row r="7" spans="1:21" ht="26.25" customHeight="1">
      <c r="A7" s="112" t="s">
        <v>28</v>
      </c>
      <c r="B7" s="36">
        <v>1000</v>
      </c>
      <c r="C7" s="35" t="s">
        <v>19</v>
      </c>
      <c r="E7" s="111" t="s">
        <v>34</v>
      </c>
      <c r="F7" s="110"/>
      <c r="G7" s="110"/>
      <c r="H7" s="110"/>
      <c r="I7" s="110"/>
      <c r="J7" s="110"/>
      <c r="K7" s="110"/>
      <c r="L7" s="109"/>
      <c r="N7" s="34"/>
    </row>
    <row r="8" spans="1:21" ht="18.600000000000001">
      <c r="A8" s="24" t="s">
        <v>26</v>
      </c>
      <c r="B8" s="27">
        <v>0.75</v>
      </c>
      <c r="C8" s="33"/>
      <c r="D8" s="16"/>
      <c r="E8" s="105">
        <v>0.2</v>
      </c>
      <c r="F8" s="104">
        <v>0.5</v>
      </c>
      <c r="G8" s="104">
        <v>0.3</v>
      </c>
      <c r="H8" s="103"/>
      <c r="I8" s="103"/>
      <c r="J8" s="103"/>
      <c r="K8" s="103"/>
      <c r="L8" s="102"/>
      <c r="N8" s="348"/>
      <c r="O8" s="348"/>
      <c r="P8" s="348"/>
    </row>
    <row r="9" spans="1:21" ht="20.399999999999999">
      <c r="A9" s="24" t="s">
        <v>25</v>
      </c>
      <c r="B9" s="31">
        <f>B7*B8</f>
        <v>750</v>
      </c>
      <c r="C9" s="30" t="s">
        <v>19</v>
      </c>
      <c r="E9" s="98">
        <v>1</v>
      </c>
      <c r="F9" s="97">
        <v>2</v>
      </c>
      <c r="G9" s="97">
        <v>3</v>
      </c>
      <c r="H9" s="97">
        <v>4</v>
      </c>
      <c r="I9" s="97">
        <v>5</v>
      </c>
      <c r="J9" s="97">
        <v>6</v>
      </c>
      <c r="K9" s="97">
        <v>7</v>
      </c>
      <c r="L9" s="96">
        <v>8</v>
      </c>
      <c r="N9" s="29"/>
      <c r="O9" s="29"/>
      <c r="P9" s="349"/>
    </row>
    <row r="10" spans="1:21" ht="20.399999999999999">
      <c r="A10" s="24" t="s">
        <v>20</v>
      </c>
      <c r="B10" s="31">
        <f>B7-B9</f>
        <v>250</v>
      </c>
      <c r="C10" s="30" t="s">
        <v>19</v>
      </c>
      <c r="E10" s="92">
        <f>-$B$9*E8</f>
        <v>-150</v>
      </c>
      <c r="F10" s="91">
        <f>-$B$9*F8</f>
        <v>-375</v>
      </c>
      <c r="G10" s="91">
        <f>-$B$9*G8</f>
        <v>-225</v>
      </c>
      <c r="H10" s="91">
        <v>0</v>
      </c>
      <c r="I10" s="90">
        <f>$F$14</f>
        <v>241.984658974572</v>
      </c>
      <c r="J10" s="90">
        <f>$F$14</f>
        <v>241.984658974572</v>
      </c>
      <c r="K10" s="90">
        <f>$F$14</f>
        <v>241.984658974572</v>
      </c>
      <c r="L10" s="89">
        <f>$F$14</f>
        <v>241.984658974572</v>
      </c>
      <c r="N10" s="29"/>
      <c r="O10" s="29"/>
      <c r="P10" s="349"/>
    </row>
    <row r="11" spans="1:21" ht="31.5" customHeight="1">
      <c r="A11" s="24" t="s">
        <v>18</v>
      </c>
      <c r="B11" s="27">
        <v>0.06</v>
      </c>
      <c r="C11" s="26"/>
      <c r="E11" s="85" t="s">
        <v>32</v>
      </c>
      <c r="F11" s="70"/>
      <c r="G11" s="70"/>
      <c r="H11" s="70"/>
      <c r="I11" s="84"/>
      <c r="J11" s="84"/>
      <c r="K11" s="84"/>
      <c r="L11" s="83"/>
      <c r="N11" s="25"/>
      <c r="P11" s="25"/>
    </row>
    <row r="12" spans="1:21" ht="39.75" customHeight="1">
      <c r="A12" s="24" t="s">
        <v>17</v>
      </c>
      <c r="B12" s="23">
        <v>1</v>
      </c>
      <c r="C12" s="22" t="s">
        <v>14</v>
      </c>
      <c r="E12" s="79">
        <f>E10/(1+$B$11)^(E9-1)</f>
        <v>-150</v>
      </c>
      <c r="F12" s="79">
        <f>F10/(1+$B$11)^(F9-1)</f>
        <v>-353.77358490566036</v>
      </c>
      <c r="G12" s="79">
        <f t="shared" ref="G12:K12" si="0">G10/(1+$B$11)^(G9-1)</f>
        <v>-200.24919900320396</v>
      </c>
      <c r="H12" s="79">
        <f t="shared" si="0"/>
        <v>0</v>
      </c>
      <c r="I12" s="79">
        <f>I10/(1+$B$11)^(I9-1)</f>
        <v>191.67451497457185</v>
      </c>
      <c r="J12" s="79">
        <f>J10/(1+$B$11)^(J9-1)</f>
        <v>180.82501412695456</v>
      </c>
      <c r="K12" s="79">
        <f t="shared" si="0"/>
        <v>170.58963596882504</v>
      </c>
      <c r="L12" s="78">
        <f>L10/(1+$B$11)^(L9-1)</f>
        <v>160.93361883851418</v>
      </c>
      <c r="M12" s="45"/>
      <c r="N12" s="350"/>
      <c r="O12" s="351"/>
    </row>
    <row r="13" spans="1:21" ht="39.75" customHeight="1">
      <c r="A13" s="21" t="s">
        <v>15</v>
      </c>
      <c r="B13" s="20">
        <v>8</v>
      </c>
      <c r="C13" s="19" t="s">
        <v>14</v>
      </c>
      <c r="E13" s="77"/>
      <c r="F13" s="70"/>
      <c r="G13" s="70"/>
      <c r="H13" s="70"/>
      <c r="I13" s="195"/>
      <c r="J13" s="70"/>
      <c r="K13" s="70"/>
      <c r="L13" s="69"/>
      <c r="N13" s="350"/>
      <c r="O13" s="351"/>
    </row>
    <row r="14" spans="1:21" ht="39.75" customHeight="1">
      <c r="E14" s="74" t="s">
        <v>10</v>
      </c>
      <c r="F14" s="73">
        <v>241.984658974572</v>
      </c>
      <c r="G14" s="70"/>
      <c r="H14" s="70"/>
      <c r="I14" s="72">
        <f>SUM(E12:L12)</f>
        <v>1.2789769243681803E-12</v>
      </c>
      <c r="J14" s="71" t="s">
        <v>3</v>
      </c>
      <c r="K14" s="70"/>
      <c r="L14" s="69"/>
      <c r="N14" s="350"/>
      <c r="O14" s="351"/>
    </row>
    <row r="15" spans="1:21" ht="36.75" customHeight="1">
      <c r="A15" s="58"/>
      <c r="E15" s="65"/>
      <c r="F15" s="63"/>
      <c r="G15" s="63"/>
      <c r="H15" s="63"/>
      <c r="I15" s="64"/>
      <c r="J15" s="63"/>
      <c r="K15" s="63"/>
      <c r="L15" s="62"/>
      <c r="N15" s="352"/>
      <c r="O15" s="353"/>
      <c r="P15" s="57"/>
    </row>
    <row r="16" spans="1:21" ht="16.350000000000001" customHeight="1">
      <c r="A16" s="58"/>
      <c r="D16" s="45"/>
      <c r="E16" s="44"/>
      <c r="F16" s="57"/>
      <c r="G16" s="57"/>
      <c r="I16" s="56"/>
    </row>
    <row r="17" spans="1:21" ht="16.350000000000001" customHeight="1">
      <c r="A17" s="38"/>
      <c r="D17" s="45"/>
      <c r="E17" s="55">
        <v>0.2</v>
      </c>
      <c r="F17" s="55">
        <v>0.5</v>
      </c>
      <c r="G17" s="55">
        <v>0.3</v>
      </c>
    </row>
    <row r="18" spans="1:21" ht="18.75" customHeight="1">
      <c r="A18" s="38"/>
      <c r="D18" s="45"/>
      <c r="E18" s="435" t="s">
        <v>9</v>
      </c>
      <c r="F18" s="436"/>
      <c r="G18" s="436"/>
      <c r="H18" s="436"/>
      <c r="I18" s="436"/>
      <c r="J18" s="436"/>
      <c r="K18" s="436"/>
      <c r="L18" s="437"/>
    </row>
    <row r="19" spans="1:21" ht="16.350000000000001" customHeight="1">
      <c r="A19" s="38"/>
      <c r="D19" s="45"/>
      <c r="E19" s="54">
        <v>1</v>
      </c>
      <c r="F19" s="53">
        <v>2</v>
      </c>
      <c r="G19" s="53">
        <v>3</v>
      </c>
      <c r="H19" s="52">
        <v>4</v>
      </c>
      <c r="I19" s="52">
        <v>5</v>
      </c>
      <c r="J19" s="52">
        <v>6</v>
      </c>
      <c r="K19" s="52">
        <v>7</v>
      </c>
      <c r="L19" s="51">
        <v>8</v>
      </c>
      <c r="O19" s="345"/>
    </row>
    <row r="20" spans="1:21" ht="16.350000000000001" customHeight="1">
      <c r="A20" s="433" t="s">
        <v>8</v>
      </c>
      <c r="B20" s="433"/>
      <c r="C20" s="433"/>
      <c r="D20" s="434"/>
      <c r="E20" s="50">
        <f>-$B$10*E17</f>
        <v>-50</v>
      </c>
      <c r="F20" s="49">
        <f>-$B$10*F17</f>
        <v>-125</v>
      </c>
      <c r="G20" s="49">
        <f>-$B$10*G17</f>
        <v>-75</v>
      </c>
      <c r="H20" s="48">
        <v>0</v>
      </c>
      <c r="I20" s="47">
        <f>-F14</f>
        <v>-241.984658974572</v>
      </c>
      <c r="J20" s="47">
        <f>I20</f>
        <v>-241.984658974572</v>
      </c>
      <c r="K20" s="47">
        <f>J20</f>
        <v>-241.984658974572</v>
      </c>
      <c r="L20" s="46">
        <f>K20</f>
        <v>-241.984658974572</v>
      </c>
    </row>
    <row r="21" spans="1:21" ht="16.350000000000001" customHeight="1">
      <c r="A21" s="38"/>
      <c r="D21" s="45"/>
      <c r="E21" s="44"/>
      <c r="F21" s="44"/>
      <c r="G21" s="44"/>
      <c r="H21" s="44"/>
      <c r="I21" s="44"/>
      <c r="J21" s="44"/>
      <c r="K21" s="44"/>
      <c r="L21" s="44"/>
    </row>
    <row r="22" spans="1:21" ht="24.75" customHeight="1">
      <c r="A22" s="38"/>
      <c r="E22" s="7">
        <f>NPV(15%,F20:L20)+E20</f>
        <v>-669.65872637850885</v>
      </c>
      <c r="F22" s="6" t="s">
        <v>3</v>
      </c>
    </row>
    <row r="23" spans="1:21" s="39" customFormat="1" ht="12" customHeight="1">
      <c r="A23" s="442"/>
      <c r="B23" s="442"/>
      <c r="C23" s="442"/>
      <c r="D23" s="442"/>
      <c r="E23" s="442"/>
      <c r="F23" s="442"/>
      <c r="G23" s="442"/>
      <c r="H23" s="442"/>
      <c r="I23" s="442"/>
      <c r="J23" s="442"/>
      <c r="K23" s="442"/>
      <c r="L23" s="442"/>
      <c r="M23" s="442"/>
      <c r="N23" s="442"/>
      <c r="O23" s="442"/>
      <c r="P23" s="442"/>
      <c r="Q23" s="442"/>
      <c r="R23" s="442"/>
      <c r="S23" s="442"/>
      <c r="T23" s="442"/>
      <c r="U23" s="442"/>
    </row>
    <row r="24" spans="1:21" ht="44.4">
      <c r="A24" s="323" t="s">
        <v>29</v>
      </c>
      <c r="I24" s="345"/>
    </row>
    <row r="25" spans="1:21" ht="20.399999999999999">
      <c r="A25" s="37" t="s">
        <v>28</v>
      </c>
      <c r="B25" s="36">
        <v>930</v>
      </c>
      <c r="C25" s="35" t="s">
        <v>19</v>
      </c>
      <c r="E25" s="34" t="s">
        <v>27</v>
      </c>
    </row>
    <row r="26" spans="1:21" ht="18.600000000000001">
      <c r="A26" s="28" t="s">
        <v>26</v>
      </c>
      <c r="B26" s="27">
        <v>0.8</v>
      </c>
      <c r="C26" s="33"/>
      <c r="E26" s="32">
        <v>0.2</v>
      </c>
      <c r="F26" s="32">
        <v>0.5</v>
      </c>
      <c r="G26" s="32">
        <v>0.3</v>
      </c>
    </row>
    <row r="27" spans="1:21" ht="20.399999999999999">
      <c r="A27" s="28" t="s">
        <v>25</v>
      </c>
      <c r="B27" s="31">
        <f>B25*B26</f>
        <v>744</v>
      </c>
      <c r="C27" s="30" t="s">
        <v>19</v>
      </c>
      <c r="E27" s="194" t="s">
        <v>24</v>
      </c>
      <c r="F27" s="193" t="s">
        <v>23</v>
      </c>
      <c r="G27" s="192" t="s">
        <v>22</v>
      </c>
    </row>
    <row r="28" spans="1:21" ht="20.399999999999999">
      <c r="A28" s="28" t="s">
        <v>20</v>
      </c>
      <c r="B28" s="31">
        <f>B25-B27</f>
        <v>186</v>
      </c>
      <c r="C28" s="30" t="s">
        <v>19</v>
      </c>
      <c r="E28" s="191">
        <f>-$B$27*E26</f>
        <v>-148.80000000000001</v>
      </c>
      <c r="F28" s="190">
        <f>-$B$27*F26</f>
        <v>-372</v>
      </c>
      <c r="G28" s="189">
        <f>-$B$27*G26</f>
        <v>-223.2</v>
      </c>
    </row>
    <row r="29" spans="1:21" ht="18.600000000000001">
      <c r="A29" s="28" t="s">
        <v>18</v>
      </c>
      <c r="B29" s="27">
        <v>7.0000000000000007E-2</v>
      </c>
      <c r="C29" s="26"/>
      <c r="E29" s="25"/>
      <c r="G29" s="25"/>
    </row>
    <row r="30" spans="1:21" ht="46.5" customHeight="1">
      <c r="A30" s="24" t="s">
        <v>17</v>
      </c>
      <c r="B30" s="23">
        <v>1</v>
      </c>
      <c r="C30" s="22" t="s">
        <v>14</v>
      </c>
      <c r="E30" s="440" t="s">
        <v>10</v>
      </c>
      <c r="F30" s="441"/>
      <c r="G30" s="354">
        <v>-322.75579010467862</v>
      </c>
    </row>
    <row r="31" spans="1:21" ht="46.5" customHeight="1">
      <c r="A31" s="21" t="s">
        <v>15</v>
      </c>
      <c r="B31" s="20">
        <v>7</v>
      </c>
      <c r="C31" s="19" t="s">
        <v>14</v>
      </c>
      <c r="E31" s="439"/>
      <c r="F31" s="439"/>
      <c r="G31" s="355"/>
    </row>
    <row r="32" spans="1:21" ht="46.5" customHeight="1">
      <c r="E32" s="439"/>
      <c r="F32" s="439"/>
      <c r="G32" s="355"/>
    </row>
    <row r="33" spans="1:11" ht="42" customHeight="1"/>
    <row r="34" spans="1:11">
      <c r="C34" s="16"/>
      <c r="D34" s="16"/>
    </row>
    <row r="35" spans="1:11" ht="23.25" customHeight="1">
      <c r="E35" s="435" t="s">
        <v>9</v>
      </c>
      <c r="F35" s="436"/>
      <c r="G35" s="436"/>
      <c r="H35" s="436"/>
      <c r="I35" s="436"/>
      <c r="J35" s="436"/>
      <c r="K35" s="437"/>
    </row>
    <row r="36" spans="1:11" ht="18" customHeight="1">
      <c r="E36" s="15">
        <v>1</v>
      </c>
      <c r="F36" s="14">
        <v>2</v>
      </c>
      <c r="G36" s="14">
        <v>3</v>
      </c>
      <c r="H36" s="13">
        <v>4</v>
      </c>
      <c r="I36" s="13">
        <v>5</v>
      </c>
      <c r="J36" s="13">
        <v>6</v>
      </c>
      <c r="K36" s="12">
        <v>7</v>
      </c>
    </row>
    <row r="37" spans="1:11" ht="18" customHeight="1">
      <c r="A37" s="433" t="s">
        <v>8</v>
      </c>
      <c r="B37" s="433"/>
      <c r="C37" s="433"/>
      <c r="D37" s="434"/>
      <c r="E37" s="11">
        <f>-($B$28)*E17</f>
        <v>-37.200000000000003</v>
      </c>
      <c r="F37" s="9">
        <f>-($B$28)*F17</f>
        <v>-93</v>
      </c>
      <c r="G37" s="9">
        <f>-($B$28)*G17</f>
        <v>-55.8</v>
      </c>
      <c r="H37" s="9">
        <v>0</v>
      </c>
      <c r="I37" s="9">
        <f>G30</f>
        <v>-322.75579010467862</v>
      </c>
      <c r="J37" s="9">
        <f>I37</f>
        <v>-322.75579010467862</v>
      </c>
      <c r="K37" s="8">
        <f>J37</f>
        <v>-322.75579010467862</v>
      </c>
    </row>
    <row r="39" spans="1:11" ht="21.75" customHeight="1">
      <c r="E39" s="7">
        <f>NPV(15%,F37:K37)+E37</f>
        <v>-644.80195720420068</v>
      </c>
      <c r="F39" s="6" t="s">
        <v>3</v>
      </c>
      <c r="G39" s="5" t="s">
        <v>30</v>
      </c>
    </row>
  </sheetData>
  <mergeCells count="10">
    <mergeCell ref="A5:U5"/>
    <mergeCell ref="A37:D37"/>
    <mergeCell ref="E35:K35"/>
    <mergeCell ref="E18:L18"/>
    <mergeCell ref="A1:Q4"/>
    <mergeCell ref="E31:F31"/>
    <mergeCell ref="E32:F32"/>
    <mergeCell ref="E30:F30"/>
    <mergeCell ref="A20:D20"/>
    <mergeCell ref="A23:U23"/>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C866E-FCAD-4D03-A64E-43D21CC37BA2}">
  <dimension ref="A1:T19"/>
  <sheetViews>
    <sheetView rightToLeft="1" zoomScale="115" zoomScaleNormal="115" workbookViewId="0">
      <selection activeCell="F10" sqref="F10"/>
    </sheetView>
  </sheetViews>
  <sheetFormatPr defaultColWidth="8.88671875" defaultRowHeight="14.4"/>
  <cols>
    <col min="1" max="1" width="27.88671875" style="3" bestFit="1" customWidth="1"/>
    <col min="2" max="2" width="10.6640625" style="116" bestFit="1" customWidth="1"/>
    <col min="3" max="3" width="12.109375" style="3" bestFit="1" customWidth="1"/>
    <col min="4" max="4" width="10" style="3" customWidth="1"/>
    <col min="5" max="5" width="16.33203125" style="3" bestFit="1" customWidth="1"/>
    <col min="6" max="6" width="9" style="3" bestFit="1" customWidth="1"/>
    <col min="7" max="7" width="10.33203125" style="3" bestFit="1" customWidth="1"/>
    <col min="8" max="8" width="10" style="3" bestFit="1" customWidth="1"/>
    <col min="9" max="9" width="9.5546875" style="3" customWidth="1"/>
    <col min="10" max="10" width="11.88671875" style="3" customWidth="1"/>
    <col min="11" max="11" width="10" style="3" bestFit="1" customWidth="1"/>
    <col min="12" max="20" width="9" style="3" bestFit="1" customWidth="1"/>
    <col min="21" max="16384" width="8.88671875" style="3"/>
  </cols>
  <sheetData>
    <row r="1" spans="1:20" ht="37.5" customHeight="1">
      <c r="A1" s="443" t="s">
        <v>140</v>
      </c>
      <c r="B1" s="443"/>
      <c r="C1" s="443"/>
      <c r="D1" s="443"/>
      <c r="E1" s="443"/>
      <c r="F1" s="443"/>
      <c r="G1" s="443"/>
      <c r="H1" s="443"/>
      <c r="I1" s="443"/>
      <c r="J1" s="443"/>
      <c r="K1" s="443"/>
      <c r="L1" s="443"/>
      <c r="M1" s="443"/>
      <c r="N1" s="443"/>
      <c r="O1" s="443"/>
      <c r="P1" s="443"/>
      <c r="Q1" s="443"/>
      <c r="R1" s="443"/>
      <c r="S1" s="443"/>
      <c r="T1" s="443"/>
    </row>
    <row r="2" spans="1:20" ht="24" customHeight="1">
      <c r="A2" s="443"/>
      <c r="B2" s="443"/>
      <c r="C2" s="443"/>
      <c r="D2" s="443"/>
      <c r="E2" s="443"/>
      <c r="F2" s="443"/>
      <c r="G2" s="443"/>
      <c r="H2" s="443"/>
      <c r="I2" s="443"/>
      <c r="J2" s="443"/>
      <c r="K2" s="443"/>
      <c r="L2" s="443"/>
      <c r="M2" s="443"/>
      <c r="N2" s="443"/>
      <c r="O2" s="443"/>
      <c r="P2" s="443"/>
      <c r="Q2" s="443"/>
      <c r="R2" s="443"/>
      <c r="S2" s="443"/>
      <c r="T2" s="443"/>
    </row>
    <row r="3" spans="1:20" ht="36.75" customHeight="1">
      <c r="A3" s="443"/>
      <c r="B3" s="443"/>
      <c r="C3" s="443"/>
      <c r="D3" s="443"/>
      <c r="E3" s="443"/>
      <c r="F3" s="443"/>
      <c r="G3" s="443"/>
      <c r="H3" s="443"/>
      <c r="I3" s="443"/>
      <c r="J3" s="443"/>
      <c r="K3" s="443"/>
      <c r="L3" s="443"/>
      <c r="M3" s="443"/>
      <c r="N3" s="443"/>
      <c r="O3" s="443"/>
      <c r="P3" s="443"/>
      <c r="Q3" s="443"/>
      <c r="R3" s="443"/>
      <c r="S3" s="443"/>
      <c r="T3" s="443"/>
    </row>
    <row r="4" spans="1:20" s="159" customFormat="1" ht="12" customHeight="1">
      <c r="B4" s="160"/>
    </row>
    <row r="5" spans="1:20" ht="20.399999999999999">
      <c r="A5" s="326" t="s">
        <v>47</v>
      </c>
      <c r="B5" s="327">
        <v>1500</v>
      </c>
      <c r="C5" s="328" t="s">
        <v>36</v>
      </c>
      <c r="D5" s="31"/>
      <c r="E5" s="31"/>
    </row>
    <row r="6" spans="1:20" ht="20.399999999999999">
      <c r="A6" s="329" t="s">
        <v>46</v>
      </c>
      <c r="B6" s="330">
        <v>2000</v>
      </c>
      <c r="C6" s="331" t="s">
        <v>36</v>
      </c>
      <c r="D6" s="31"/>
      <c r="E6" s="31"/>
      <c r="F6" s="207">
        <v>1</v>
      </c>
      <c r="G6" s="136">
        <v>2</v>
      </c>
      <c r="H6" s="136">
        <v>3</v>
      </c>
      <c r="I6" s="136">
        <v>4</v>
      </c>
      <c r="J6" s="200">
        <v>5</v>
      </c>
      <c r="K6" s="136">
        <v>6</v>
      </c>
      <c r="L6" s="136">
        <v>7</v>
      </c>
      <c r="M6" s="136">
        <v>8</v>
      </c>
      <c r="N6" s="136">
        <v>9</v>
      </c>
      <c r="O6" s="136">
        <v>10</v>
      </c>
      <c r="P6" s="136">
        <v>11</v>
      </c>
      <c r="Q6" s="136">
        <v>12</v>
      </c>
      <c r="R6" s="136">
        <v>13</v>
      </c>
      <c r="S6" s="136">
        <v>14</v>
      </c>
      <c r="T6" s="135">
        <v>15</v>
      </c>
    </row>
    <row r="7" spans="1:20" ht="20.399999999999999">
      <c r="A7" s="329" t="s">
        <v>45</v>
      </c>
      <c r="B7" s="332">
        <v>0.3</v>
      </c>
      <c r="C7" s="333" t="s">
        <v>41</v>
      </c>
      <c r="D7" s="116"/>
      <c r="E7" s="206" t="s">
        <v>44</v>
      </c>
      <c r="F7" s="157">
        <f>-B7*I17</f>
        <v>-402.22263738830225</v>
      </c>
      <c r="G7" s="157">
        <f>-0.7*$I$17/3</f>
        <v>-312.8398290797906</v>
      </c>
      <c r="H7" s="157">
        <f>-0.7*$I$17/3</f>
        <v>-312.8398290797906</v>
      </c>
      <c r="I7" s="157">
        <f>-0.7*$I$17/3</f>
        <v>-312.8398290797906</v>
      </c>
      <c r="K7" s="136"/>
      <c r="L7" s="136"/>
      <c r="M7" s="136"/>
      <c r="N7" s="136"/>
      <c r="O7" s="136"/>
      <c r="P7" s="136"/>
      <c r="Q7" s="136"/>
      <c r="R7" s="136"/>
      <c r="S7" s="136"/>
      <c r="T7" s="135"/>
    </row>
    <row r="8" spans="1:20" ht="20.399999999999999">
      <c r="A8" s="329"/>
      <c r="B8" s="330"/>
      <c r="C8" s="331"/>
      <c r="D8" s="31"/>
      <c r="E8" s="204" t="s">
        <v>50</v>
      </c>
      <c r="F8" s="205"/>
      <c r="G8" s="153">
        <f>$I$15</f>
        <v>-639.55568358957373</v>
      </c>
      <c r="H8" s="153">
        <f>$I$15</f>
        <v>-639.55568358957373</v>
      </c>
      <c r="I8" s="153">
        <f>$I$15</f>
        <v>-639.55568358957373</v>
      </c>
      <c r="J8" s="153">
        <f>$I$15</f>
        <v>-639.55568358957373</v>
      </c>
      <c r="K8" s="153">
        <f>$I$15</f>
        <v>-639.55568358957373</v>
      </c>
      <c r="L8" s="148"/>
      <c r="M8" s="148"/>
      <c r="N8" s="148"/>
      <c r="O8" s="148"/>
      <c r="P8" s="148"/>
      <c r="Q8" s="148"/>
      <c r="R8" s="148"/>
      <c r="S8" s="148"/>
      <c r="T8" s="151"/>
    </row>
    <row r="9" spans="1:20" ht="20.399999999999999">
      <c r="A9" s="329"/>
      <c r="B9" s="330"/>
      <c r="C9" s="331"/>
      <c r="D9" s="31"/>
      <c r="E9" s="204" t="s">
        <v>139</v>
      </c>
      <c r="F9" s="205"/>
      <c r="G9" s="153"/>
      <c r="H9" s="153"/>
      <c r="I9" s="153"/>
      <c r="J9" s="153"/>
      <c r="K9" s="153"/>
      <c r="L9" s="148"/>
      <c r="M9" s="148"/>
      <c r="N9" s="148"/>
      <c r="O9" s="148"/>
      <c r="P9" s="148"/>
      <c r="Q9" s="148"/>
      <c r="R9" s="148"/>
      <c r="S9" s="148"/>
      <c r="T9" s="151">
        <f>15%*B5</f>
        <v>225</v>
      </c>
    </row>
    <row r="10" spans="1:20" ht="20.399999999999999">
      <c r="A10" s="329" t="s">
        <v>42</v>
      </c>
      <c r="B10" s="332">
        <v>0.17</v>
      </c>
      <c r="C10" s="333" t="s">
        <v>41</v>
      </c>
      <c r="D10" s="116"/>
      <c r="E10" s="204" t="s">
        <v>49</v>
      </c>
      <c r="F10" s="203">
        <f>G10</f>
        <v>500</v>
      </c>
      <c r="G10" s="203">
        <f t="shared" ref="G10:T10" si="0">$B$13</f>
        <v>500</v>
      </c>
      <c r="H10" s="203">
        <f t="shared" si="0"/>
        <v>500</v>
      </c>
      <c r="I10" s="203">
        <f t="shared" si="0"/>
        <v>500</v>
      </c>
      <c r="J10" s="203">
        <f t="shared" si="0"/>
        <v>500</v>
      </c>
      <c r="K10" s="203">
        <f t="shared" si="0"/>
        <v>500</v>
      </c>
      <c r="L10" s="203">
        <f t="shared" si="0"/>
        <v>500</v>
      </c>
      <c r="M10" s="203">
        <f t="shared" si="0"/>
        <v>500</v>
      </c>
      <c r="N10" s="203">
        <f t="shared" si="0"/>
        <v>500</v>
      </c>
      <c r="O10" s="203">
        <f t="shared" si="0"/>
        <v>500</v>
      </c>
      <c r="P10" s="203">
        <f t="shared" si="0"/>
        <v>500</v>
      </c>
      <c r="Q10" s="203">
        <f t="shared" si="0"/>
        <v>500</v>
      </c>
      <c r="R10" s="203">
        <f t="shared" si="0"/>
        <v>500</v>
      </c>
      <c r="S10" s="203">
        <f t="shared" si="0"/>
        <v>500</v>
      </c>
      <c r="T10" s="202">
        <f t="shared" si="0"/>
        <v>500</v>
      </c>
    </row>
    <row r="11" spans="1:20" ht="20.399999999999999">
      <c r="A11" s="329"/>
      <c r="B11" s="330"/>
      <c r="C11" s="331"/>
      <c r="D11" s="31"/>
      <c r="E11" s="201" t="s">
        <v>7</v>
      </c>
      <c r="F11" s="146">
        <f>SUM(F7:F10)</f>
        <v>97.777362611697754</v>
      </c>
      <c r="G11" s="145">
        <f>SUM(G7:G10)</f>
        <v>-452.39551266936428</v>
      </c>
      <c r="H11" s="145">
        <f>SUM(H7:H10)</f>
        <v>-452.39551266936428</v>
      </c>
      <c r="I11" s="145">
        <f t="shared" ref="I11:T11" si="1">SUM(I7:I10)</f>
        <v>-452.39551266936428</v>
      </c>
      <c r="J11" s="145">
        <f t="shared" si="1"/>
        <v>-139.55568358957373</v>
      </c>
      <c r="K11" s="145">
        <f t="shared" si="1"/>
        <v>-139.55568358957373</v>
      </c>
      <c r="L11" s="200">
        <f t="shared" si="1"/>
        <v>500</v>
      </c>
      <c r="M11" s="200">
        <f t="shared" si="1"/>
        <v>500</v>
      </c>
      <c r="N11" s="200">
        <f t="shared" si="1"/>
        <v>500</v>
      </c>
      <c r="O11" s="200">
        <f t="shared" si="1"/>
        <v>500</v>
      </c>
      <c r="P11" s="200">
        <f t="shared" si="1"/>
        <v>500</v>
      </c>
      <c r="Q11" s="200">
        <f t="shared" si="1"/>
        <v>500</v>
      </c>
      <c r="R11" s="200">
        <f t="shared" si="1"/>
        <v>500</v>
      </c>
      <c r="S11" s="200">
        <f t="shared" si="1"/>
        <v>500</v>
      </c>
      <c r="T11" s="199">
        <f t="shared" si="1"/>
        <v>725</v>
      </c>
    </row>
    <row r="12" spans="1:20" ht="20.399999999999999">
      <c r="A12" s="329" t="s">
        <v>39</v>
      </c>
      <c r="B12" s="330">
        <v>3</v>
      </c>
      <c r="C12" s="331" t="s">
        <v>14</v>
      </c>
    </row>
    <row r="13" spans="1:20" ht="20.399999999999999">
      <c r="A13" s="334" t="s">
        <v>38</v>
      </c>
      <c r="B13" s="335">
        <v>500</v>
      </c>
      <c r="C13" s="336" t="s">
        <v>36</v>
      </c>
      <c r="D13" s="31"/>
      <c r="E13" s="31"/>
    </row>
    <row r="15" spans="1:20" ht="18.600000000000001">
      <c r="B15" s="3"/>
      <c r="G15" s="444" t="s">
        <v>48</v>
      </c>
      <c r="H15" s="445"/>
      <c r="I15" s="347">
        <f>PMT(18%,5,B6,0,0)</f>
        <v>-639.55568358957373</v>
      </c>
    </row>
    <row r="17" spans="2:10" ht="23.4">
      <c r="B17" s="3"/>
      <c r="E17" s="119">
        <f>NPV(B10,G11:T11)+F11</f>
        <v>0</v>
      </c>
      <c r="F17" s="1" t="s">
        <v>3</v>
      </c>
      <c r="G17" s="446" t="s">
        <v>37</v>
      </c>
      <c r="H17" s="447"/>
      <c r="I17" s="325">
        <v>1340.7421246276742</v>
      </c>
      <c r="J17" s="324" t="s">
        <v>36</v>
      </c>
    </row>
    <row r="19" spans="2:10" s="4" customFormat="1">
      <c r="B19" s="198"/>
    </row>
  </sheetData>
  <mergeCells count="3">
    <mergeCell ref="A1:T3"/>
    <mergeCell ref="G15:H15"/>
    <mergeCell ref="G17:H17"/>
  </mergeCells>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7"/>
  <sheetViews>
    <sheetView rightToLeft="1" zoomScale="130" zoomScaleNormal="130" workbookViewId="0">
      <selection activeCell="C17" sqref="C17"/>
    </sheetView>
  </sheetViews>
  <sheetFormatPr defaultColWidth="8.88671875" defaultRowHeight="16.8"/>
  <cols>
    <col min="1" max="1" width="12.109375" style="161" bestFit="1" customWidth="1"/>
    <col min="2" max="2" width="8.88671875" style="161"/>
    <col min="3" max="3" width="5.5546875" style="161" customWidth="1"/>
    <col min="4" max="4" width="7.33203125" style="161" bestFit="1" customWidth="1"/>
    <col min="5" max="5" width="9.44140625" style="161" customWidth="1"/>
    <col min="6" max="33" width="6.88671875" style="161" customWidth="1"/>
    <col min="34" max="16384" width="8.88671875" style="161"/>
  </cols>
  <sheetData>
    <row r="1" spans="1:33" ht="18" customHeight="1">
      <c r="A1" s="448" t="s">
        <v>110</v>
      </c>
      <c r="B1" s="448"/>
      <c r="C1" s="448"/>
      <c r="D1" s="448"/>
      <c r="E1" s="448"/>
      <c r="F1" s="448"/>
      <c r="G1" s="448"/>
      <c r="H1" s="448"/>
      <c r="I1" s="448"/>
      <c r="J1" s="448"/>
      <c r="K1" s="448"/>
      <c r="L1" s="448"/>
      <c r="M1" s="448"/>
      <c r="N1" s="448"/>
      <c r="O1" s="448"/>
      <c r="P1" s="448"/>
      <c r="Q1" s="448"/>
      <c r="R1" s="448"/>
      <c r="S1" s="448"/>
      <c r="T1" s="448"/>
      <c r="U1" s="448"/>
      <c r="V1" s="448"/>
    </row>
    <row r="2" spans="1:33" ht="18" customHeight="1">
      <c r="A2" s="448"/>
      <c r="B2" s="448"/>
      <c r="C2" s="448"/>
      <c r="D2" s="448"/>
      <c r="E2" s="448"/>
      <c r="F2" s="448"/>
      <c r="G2" s="448"/>
      <c r="H2" s="448"/>
      <c r="I2" s="448"/>
      <c r="J2" s="448"/>
      <c r="K2" s="448"/>
      <c r="L2" s="448"/>
      <c r="M2" s="448"/>
      <c r="N2" s="448"/>
      <c r="O2" s="448"/>
      <c r="P2" s="448"/>
      <c r="Q2" s="448"/>
      <c r="R2" s="448"/>
      <c r="S2" s="448"/>
      <c r="T2" s="448"/>
      <c r="U2" s="448"/>
      <c r="V2" s="448"/>
    </row>
    <row r="3" spans="1:33" ht="18" customHeight="1">
      <c r="A3" s="448"/>
      <c r="B3" s="448"/>
      <c r="C3" s="448"/>
      <c r="D3" s="448"/>
      <c r="E3" s="448"/>
      <c r="F3" s="448"/>
      <c r="G3" s="448"/>
      <c r="H3" s="448"/>
      <c r="I3" s="448"/>
      <c r="J3" s="448"/>
      <c r="K3" s="448"/>
      <c r="L3" s="448"/>
      <c r="M3" s="448"/>
      <c r="N3" s="448"/>
      <c r="O3" s="448"/>
      <c r="P3" s="448"/>
      <c r="Q3" s="448"/>
      <c r="R3" s="448"/>
      <c r="S3" s="448"/>
      <c r="T3" s="448"/>
      <c r="U3" s="448"/>
      <c r="V3" s="448"/>
    </row>
    <row r="4" spans="1:33" ht="24" customHeight="1">
      <c r="A4" s="448"/>
      <c r="B4" s="448"/>
      <c r="C4" s="448"/>
      <c r="D4" s="448"/>
      <c r="E4" s="448"/>
      <c r="F4" s="448"/>
      <c r="G4" s="448"/>
      <c r="H4" s="448"/>
      <c r="I4" s="448"/>
      <c r="J4" s="448"/>
      <c r="K4" s="448"/>
      <c r="L4" s="448"/>
      <c r="M4" s="448"/>
      <c r="N4" s="448"/>
      <c r="O4" s="448"/>
      <c r="P4" s="448"/>
      <c r="Q4" s="448"/>
      <c r="R4" s="448"/>
      <c r="S4" s="448"/>
      <c r="T4" s="448"/>
      <c r="U4" s="448"/>
      <c r="V4" s="448"/>
    </row>
    <row r="5" spans="1:33" s="188" customFormat="1" ht="10.5" customHeight="1"/>
    <row r="6" spans="1:33" ht="18.600000000000001">
      <c r="A6" s="184" t="s">
        <v>58</v>
      </c>
      <c r="B6" s="187">
        <v>-4</v>
      </c>
      <c r="C6" s="184" t="s">
        <v>52</v>
      </c>
      <c r="D6" s="184"/>
    </row>
    <row r="7" spans="1:33" ht="18.600000000000001">
      <c r="A7" s="184" t="s">
        <v>53</v>
      </c>
      <c r="B7" s="187">
        <v>-3</v>
      </c>
      <c r="C7" s="184" t="s">
        <v>52</v>
      </c>
      <c r="D7" s="184"/>
    </row>
    <row r="8" spans="1:33" ht="18.600000000000001">
      <c r="A8" s="184"/>
      <c r="B8" s="185"/>
      <c r="C8" s="184"/>
    </row>
    <row r="9" spans="1:33" ht="25.5" customHeight="1">
      <c r="B9" s="178"/>
      <c r="D9" s="216">
        <v>1</v>
      </c>
      <c r="E9" s="215">
        <v>2</v>
      </c>
      <c r="F9" s="215">
        <v>3</v>
      </c>
      <c r="G9" s="215">
        <v>4</v>
      </c>
      <c r="H9" s="215">
        <v>5</v>
      </c>
      <c r="I9" s="215">
        <v>6</v>
      </c>
      <c r="J9" s="182">
        <v>7</v>
      </c>
      <c r="K9" s="182">
        <v>8</v>
      </c>
      <c r="L9" s="182">
        <v>9</v>
      </c>
      <c r="M9" s="181">
        <v>10</v>
      </c>
      <c r="N9" s="181">
        <v>11</v>
      </c>
      <c r="O9" s="181">
        <v>12</v>
      </c>
      <c r="P9" s="181">
        <v>13</v>
      </c>
      <c r="Q9" s="181">
        <v>14</v>
      </c>
      <c r="R9" s="181">
        <v>15</v>
      </c>
      <c r="S9" s="181">
        <v>16</v>
      </c>
      <c r="T9" s="181">
        <v>17</v>
      </c>
      <c r="U9" s="181">
        <v>18</v>
      </c>
      <c r="V9" s="181">
        <v>19</v>
      </c>
      <c r="W9" s="181">
        <v>20</v>
      </c>
      <c r="X9" s="181">
        <v>21</v>
      </c>
      <c r="Y9" s="181">
        <v>22</v>
      </c>
      <c r="Z9" s="181">
        <v>23</v>
      </c>
      <c r="AA9" s="181">
        <v>24</v>
      </c>
      <c r="AB9" s="181">
        <v>25</v>
      </c>
      <c r="AC9" s="181">
        <v>26</v>
      </c>
      <c r="AD9" s="181">
        <v>27</v>
      </c>
      <c r="AE9" s="181">
        <v>28</v>
      </c>
      <c r="AF9" s="181">
        <v>29</v>
      </c>
      <c r="AG9" s="214">
        <v>30</v>
      </c>
    </row>
    <row r="10" spans="1:33" ht="28.5" customHeight="1">
      <c r="D10" s="213">
        <f>$B$6/6</f>
        <v>-0.66666666666666663</v>
      </c>
      <c r="E10" s="212">
        <f t="shared" ref="E10:I10" si="0">$B$6/6</f>
        <v>-0.66666666666666663</v>
      </c>
      <c r="F10" s="212">
        <f t="shared" si="0"/>
        <v>-0.66666666666666663</v>
      </c>
      <c r="G10" s="212">
        <f t="shared" si="0"/>
        <v>-0.66666666666666663</v>
      </c>
      <c r="H10" s="212">
        <f t="shared" si="0"/>
        <v>-0.66666666666666663</v>
      </c>
      <c r="I10" s="212">
        <f t="shared" si="0"/>
        <v>-0.66666666666666663</v>
      </c>
      <c r="J10" s="172">
        <f>$B$7/3</f>
        <v>-1</v>
      </c>
      <c r="K10" s="172">
        <f>$B$7/3</f>
        <v>-1</v>
      </c>
      <c r="L10" s="172">
        <f>$B$7/3</f>
        <v>-1</v>
      </c>
      <c r="M10" s="172">
        <v>1.5</v>
      </c>
      <c r="N10" s="172">
        <v>1.5</v>
      </c>
      <c r="O10" s="172">
        <v>1.5</v>
      </c>
      <c r="P10" s="172">
        <v>1.5</v>
      </c>
      <c r="Q10" s="172">
        <v>1.5</v>
      </c>
      <c r="R10" s="172">
        <v>1.5</v>
      </c>
      <c r="S10" s="172">
        <v>1.5</v>
      </c>
      <c r="T10" s="172">
        <v>1.5</v>
      </c>
      <c r="U10" s="172">
        <v>1.5</v>
      </c>
      <c r="V10" s="172">
        <v>1.5</v>
      </c>
      <c r="W10" s="172">
        <v>1.5</v>
      </c>
      <c r="X10" s="172">
        <v>1.5</v>
      </c>
      <c r="Y10" s="172">
        <v>1.5</v>
      </c>
      <c r="Z10" s="172">
        <v>1.5</v>
      </c>
      <c r="AA10" s="172">
        <v>1.5</v>
      </c>
      <c r="AB10" s="172">
        <v>1.5</v>
      </c>
      <c r="AC10" s="172">
        <v>1.5</v>
      </c>
      <c r="AD10" s="172">
        <v>1.5</v>
      </c>
      <c r="AE10" s="172">
        <v>1.5</v>
      </c>
      <c r="AF10" s="172">
        <v>1.5</v>
      </c>
      <c r="AG10" s="171">
        <v>1.5</v>
      </c>
    </row>
    <row r="13" spans="1:33" ht="24.75" customHeight="1">
      <c r="D13" s="211">
        <f>NPV(20%,D10:I10)</f>
        <v>-2.2170067443987196</v>
      </c>
      <c r="E13" s="210" t="s">
        <v>57</v>
      </c>
      <c r="F13" s="449" t="s">
        <v>56</v>
      </c>
      <c r="G13" s="449"/>
      <c r="H13" s="449"/>
      <c r="I13" s="450"/>
    </row>
    <row r="14" spans="1:33" ht="24" customHeight="1">
      <c r="D14" s="209">
        <f>NPV(20%,D10:AG10)</f>
        <v>-1.5005082862011097</v>
      </c>
      <c r="E14" s="208" t="s">
        <v>55</v>
      </c>
      <c r="F14" s="451" t="s">
        <v>54</v>
      </c>
      <c r="G14" s="451"/>
      <c r="H14" s="451"/>
      <c r="I14" s="452"/>
    </row>
    <row r="17" ht="23.25" customHeight="1"/>
  </sheetData>
  <mergeCells count="3">
    <mergeCell ref="A1:V4"/>
    <mergeCell ref="F13:I13"/>
    <mergeCell ref="F14:I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7"/>
  <sheetViews>
    <sheetView topLeftCell="A17" workbookViewId="0">
      <selection activeCell="B33" sqref="B33"/>
    </sheetView>
  </sheetViews>
  <sheetFormatPr defaultColWidth="9.109375" defaultRowHeight="15"/>
  <cols>
    <col min="1" max="1" width="36" style="217" bestFit="1" customWidth="1"/>
    <col min="2" max="2" width="10.44140625" style="218" bestFit="1" customWidth="1"/>
    <col min="3" max="3" width="9.44140625" style="217" bestFit="1" customWidth="1"/>
    <col min="4" max="21" width="9.109375" style="217"/>
    <col min="22" max="23" width="9.5546875" style="217" bestFit="1" customWidth="1"/>
    <col min="24" max="16384" width="9.109375" style="217"/>
  </cols>
  <sheetData>
    <row r="1" spans="1:21" ht="39" customHeight="1">
      <c r="A1" s="454" t="s">
        <v>141</v>
      </c>
      <c r="B1" s="454"/>
      <c r="C1" s="454"/>
      <c r="D1" s="454"/>
      <c r="E1" s="454"/>
      <c r="F1" s="454"/>
      <c r="G1" s="454"/>
      <c r="H1" s="454"/>
      <c r="I1" s="454"/>
      <c r="J1" s="454"/>
      <c r="K1" s="454"/>
      <c r="L1" s="454"/>
      <c r="M1" s="454"/>
      <c r="N1" s="454"/>
      <c r="O1" s="454"/>
      <c r="P1" s="454"/>
      <c r="Q1" s="454"/>
      <c r="R1" s="454"/>
      <c r="S1" s="454"/>
      <c r="T1" s="454"/>
      <c r="U1" s="454"/>
    </row>
    <row r="2" spans="1:21" ht="39" customHeight="1">
      <c r="A2" s="454"/>
      <c r="B2" s="454"/>
      <c r="C2" s="454"/>
      <c r="D2" s="454"/>
      <c r="E2" s="454"/>
      <c r="F2" s="454"/>
      <c r="G2" s="454"/>
      <c r="H2" s="454"/>
      <c r="I2" s="454"/>
      <c r="J2" s="454"/>
      <c r="K2" s="454"/>
      <c r="L2" s="454"/>
      <c r="M2" s="454"/>
      <c r="N2" s="454"/>
      <c r="O2" s="454"/>
      <c r="P2" s="454"/>
      <c r="Q2" s="454"/>
      <c r="R2" s="454"/>
      <c r="S2" s="454"/>
      <c r="T2" s="454"/>
      <c r="U2" s="454"/>
    </row>
    <row r="3" spans="1:21" ht="39" customHeight="1">
      <c r="A3" s="455"/>
      <c r="B3" s="455"/>
      <c r="C3" s="455"/>
      <c r="D3" s="455"/>
      <c r="E3" s="455"/>
      <c r="F3" s="455"/>
      <c r="G3" s="455"/>
      <c r="H3" s="455"/>
      <c r="I3" s="455"/>
      <c r="J3" s="455"/>
      <c r="K3" s="455"/>
      <c r="L3" s="455"/>
      <c r="M3" s="455"/>
      <c r="N3" s="455"/>
      <c r="O3" s="455"/>
      <c r="P3" s="455"/>
      <c r="Q3" s="455"/>
      <c r="R3" s="455"/>
      <c r="S3" s="455"/>
      <c r="T3" s="455"/>
      <c r="U3" s="455"/>
    </row>
    <row r="4" spans="1:21" ht="24.75" customHeight="1">
      <c r="A4" s="219" t="s">
        <v>4</v>
      </c>
      <c r="B4" s="227">
        <v>500</v>
      </c>
      <c r="C4" s="219" t="s">
        <v>5</v>
      </c>
    </row>
    <row r="5" spans="1:21" ht="24.75" customHeight="1">
      <c r="A5" s="219" t="s">
        <v>0</v>
      </c>
      <c r="B5" s="227">
        <v>300</v>
      </c>
      <c r="C5" s="219" t="s">
        <v>1</v>
      </c>
    </row>
    <row r="6" spans="1:21" ht="20.25" customHeight="1">
      <c r="A6" s="219" t="s">
        <v>4</v>
      </c>
      <c r="B6" s="227">
        <v>7500</v>
      </c>
      <c r="C6" s="219" t="s">
        <v>68</v>
      </c>
    </row>
    <row r="7" spans="1:21" ht="22.5" customHeight="1">
      <c r="A7" s="219" t="s">
        <v>64</v>
      </c>
      <c r="B7" s="245">
        <v>0.03</v>
      </c>
      <c r="C7" s="219"/>
      <c r="J7" s="453" t="s">
        <v>67</v>
      </c>
      <c r="K7" s="453"/>
      <c r="L7" s="244">
        <v>0.34898793682038398</v>
      </c>
    </row>
    <row r="8" spans="1:21" ht="22.5" customHeight="1">
      <c r="A8" s="219" t="s">
        <v>66</v>
      </c>
      <c r="B8" s="227">
        <v>4</v>
      </c>
      <c r="C8" s="219" t="s">
        <v>65</v>
      </c>
      <c r="L8" s="243"/>
    </row>
    <row r="11" spans="1:21" s="219" customFormat="1">
      <c r="B11" s="242">
        <v>0.2</v>
      </c>
      <c r="C11" s="242">
        <v>0.5</v>
      </c>
      <c r="D11" s="242">
        <v>0.3</v>
      </c>
    </row>
    <row r="12" spans="1:21" s="219" customFormat="1" ht="22.5" customHeight="1">
      <c r="B12" s="241">
        <v>1</v>
      </c>
      <c r="C12" s="240">
        <v>2</v>
      </c>
      <c r="D12" s="239">
        <v>3</v>
      </c>
      <c r="E12" s="237">
        <v>4</v>
      </c>
      <c r="F12" s="237">
        <v>5</v>
      </c>
      <c r="G12" s="237">
        <v>6</v>
      </c>
      <c r="H12" s="237">
        <v>7</v>
      </c>
      <c r="I12" s="237">
        <v>8</v>
      </c>
      <c r="J12" s="237">
        <v>9</v>
      </c>
      <c r="K12" s="237">
        <v>10</v>
      </c>
      <c r="L12" s="237">
        <v>11</v>
      </c>
      <c r="M12" s="237">
        <v>12</v>
      </c>
      <c r="N12" s="237">
        <v>13</v>
      </c>
      <c r="O12" s="237">
        <v>14</v>
      </c>
      <c r="P12" s="237">
        <v>15</v>
      </c>
      <c r="Q12" s="237">
        <v>16</v>
      </c>
      <c r="R12" s="237">
        <v>17</v>
      </c>
      <c r="S12" s="237">
        <v>18</v>
      </c>
      <c r="T12" s="237">
        <v>19</v>
      </c>
      <c r="U12" s="236">
        <v>20</v>
      </c>
    </row>
    <row r="13" spans="1:21" s="219" customFormat="1" ht="20.25" customHeight="1">
      <c r="A13" s="238" t="s">
        <v>0</v>
      </c>
      <c r="B13" s="237">
        <f>$B$5*B11</f>
        <v>60</v>
      </c>
      <c r="C13" s="237">
        <f>$B$5*C11</f>
        <v>150</v>
      </c>
      <c r="D13" s="237">
        <f>$B$5*D11</f>
        <v>90</v>
      </c>
      <c r="E13" s="237"/>
      <c r="F13" s="237"/>
      <c r="G13" s="237"/>
      <c r="H13" s="237"/>
      <c r="I13" s="237"/>
      <c r="J13" s="237"/>
      <c r="K13" s="237"/>
      <c r="L13" s="237"/>
      <c r="M13" s="237"/>
      <c r="N13" s="237"/>
      <c r="O13" s="237"/>
      <c r="P13" s="237"/>
      <c r="Q13" s="237"/>
      <c r="R13" s="237"/>
      <c r="S13" s="237"/>
      <c r="T13" s="237"/>
      <c r="U13" s="236"/>
    </row>
    <row r="14" spans="1:21" s="219" customFormat="1" ht="20.25" customHeight="1">
      <c r="A14" s="235" t="s">
        <v>64</v>
      </c>
      <c r="B14" s="227"/>
      <c r="C14" s="227"/>
      <c r="D14" s="227"/>
      <c r="E14" s="227">
        <f t="shared" ref="E14:U14" si="0">$B$7*$B$5</f>
        <v>9</v>
      </c>
      <c r="F14" s="227">
        <f t="shared" si="0"/>
        <v>9</v>
      </c>
      <c r="G14" s="227">
        <f t="shared" si="0"/>
        <v>9</v>
      </c>
      <c r="H14" s="227">
        <f t="shared" si="0"/>
        <v>9</v>
      </c>
      <c r="I14" s="227">
        <f t="shared" si="0"/>
        <v>9</v>
      </c>
      <c r="J14" s="227">
        <f t="shared" si="0"/>
        <v>9</v>
      </c>
      <c r="K14" s="227">
        <f t="shared" si="0"/>
        <v>9</v>
      </c>
      <c r="L14" s="227">
        <f t="shared" si="0"/>
        <v>9</v>
      </c>
      <c r="M14" s="227">
        <f t="shared" si="0"/>
        <v>9</v>
      </c>
      <c r="N14" s="227">
        <f t="shared" si="0"/>
        <v>9</v>
      </c>
      <c r="O14" s="227">
        <f t="shared" si="0"/>
        <v>9</v>
      </c>
      <c r="P14" s="227">
        <f t="shared" si="0"/>
        <v>9</v>
      </c>
      <c r="Q14" s="227">
        <f t="shared" si="0"/>
        <v>9</v>
      </c>
      <c r="R14" s="227">
        <f t="shared" si="0"/>
        <v>9</v>
      </c>
      <c r="S14" s="227">
        <f t="shared" si="0"/>
        <v>9</v>
      </c>
      <c r="T14" s="227">
        <f t="shared" si="0"/>
        <v>9</v>
      </c>
      <c r="U14" s="234">
        <f t="shared" si="0"/>
        <v>9</v>
      </c>
    </row>
    <row r="15" spans="1:21" s="219" customFormat="1" ht="20.25" customHeight="1">
      <c r="A15" s="233" t="s">
        <v>63</v>
      </c>
      <c r="B15" s="232"/>
      <c r="C15" s="232"/>
      <c r="D15" s="232"/>
      <c r="E15" s="232">
        <f>$B$4*1000*$B$6*$B$8/100/10^6</f>
        <v>150</v>
      </c>
      <c r="F15" s="232">
        <f t="shared" ref="F15:U15" si="1">$B$4*1000*$B$6*$B$8/100/10^6</f>
        <v>150</v>
      </c>
      <c r="G15" s="232">
        <f t="shared" si="1"/>
        <v>150</v>
      </c>
      <c r="H15" s="232">
        <f t="shared" si="1"/>
        <v>150</v>
      </c>
      <c r="I15" s="232">
        <f t="shared" si="1"/>
        <v>150</v>
      </c>
      <c r="J15" s="232">
        <f t="shared" si="1"/>
        <v>150</v>
      </c>
      <c r="K15" s="232">
        <f t="shared" si="1"/>
        <v>150</v>
      </c>
      <c r="L15" s="232">
        <f t="shared" si="1"/>
        <v>150</v>
      </c>
      <c r="M15" s="232">
        <f t="shared" si="1"/>
        <v>150</v>
      </c>
      <c r="N15" s="232">
        <f t="shared" si="1"/>
        <v>150</v>
      </c>
      <c r="O15" s="232">
        <f t="shared" si="1"/>
        <v>150</v>
      </c>
      <c r="P15" s="232">
        <f t="shared" si="1"/>
        <v>150</v>
      </c>
      <c r="Q15" s="232">
        <f t="shared" si="1"/>
        <v>150</v>
      </c>
      <c r="R15" s="232">
        <f t="shared" si="1"/>
        <v>150</v>
      </c>
      <c r="S15" s="232">
        <f t="shared" si="1"/>
        <v>150</v>
      </c>
      <c r="T15" s="232">
        <f t="shared" si="1"/>
        <v>150</v>
      </c>
      <c r="U15" s="231">
        <f t="shared" si="1"/>
        <v>150</v>
      </c>
    </row>
    <row r="16" spans="1:21" s="219" customFormat="1" ht="20.25" customHeight="1">
      <c r="A16" s="230" t="s">
        <v>7</v>
      </c>
      <c r="B16" s="229">
        <f t="shared" ref="B16:U16" si="2">B15-B14-B13</f>
        <v>-60</v>
      </c>
      <c r="C16" s="229">
        <f t="shared" si="2"/>
        <v>-150</v>
      </c>
      <c r="D16" s="229">
        <f t="shared" si="2"/>
        <v>-90</v>
      </c>
      <c r="E16" s="229">
        <f t="shared" si="2"/>
        <v>141</v>
      </c>
      <c r="F16" s="229">
        <f t="shared" si="2"/>
        <v>141</v>
      </c>
      <c r="G16" s="229">
        <f t="shared" si="2"/>
        <v>141</v>
      </c>
      <c r="H16" s="229">
        <f t="shared" si="2"/>
        <v>141</v>
      </c>
      <c r="I16" s="229">
        <f t="shared" si="2"/>
        <v>141</v>
      </c>
      <c r="J16" s="229">
        <f t="shared" si="2"/>
        <v>141</v>
      </c>
      <c r="K16" s="229">
        <f t="shared" si="2"/>
        <v>141</v>
      </c>
      <c r="L16" s="229">
        <f t="shared" si="2"/>
        <v>141</v>
      </c>
      <c r="M16" s="229">
        <f t="shared" si="2"/>
        <v>141</v>
      </c>
      <c r="N16" s="229">
        <f t="shared" si="2"/>
        <v>141</v>
      </c>
      <c r="O16" s="229">
        <f t="shared" si="2"/>
        <v>141</v>
      </c>
      <c r="P16" s="229">
        <f t="shared" si="2"/>
        <v>141</v>
      </c>
      <c r="Q16" s="229">
        <f t="shared" si="2"/>
        <v>141</v>
      </c>
      <c r="R16" s="229">
        <f t="shared" si="2"/>
        <v>141</v>
      </c>
      <c r="S16" s="229">
        <f t="shared" si="2"/>
        <v>141</v>
      </c>
      <c r="T16" s="229">
        <f t="shared" si="2"/>
        <v>141</v>
      </c>
      <c r="U16" s="228">
        <f t="shared" si="2"/>
        <v>141</v>
      </c>
    </row>
    <row r="17" spans="1:21" s="219" customFormat="1" ht="20.25" customHeight="1">
      <c r="A17" s="230" t="s">
        <v>62</v>
      </c>
      <c r="B17" s="229">
        <f>B16</f>
        <v>-60</v>
      </c>
      <c r="C17" s="229">
        <f>B17+C16</f>
        <v>-210</v>
      </c>
      <c r="D17" s="229">
        <f t="shared" ref="D17:U17" si="3">C17+D16</f>
        <v>-300</v>
      </c>
      <c r="E17" s="229">
        <f t="shared" si="3"/>
        <v>-159</v>
      </c>
      <c r="F17" s="229">
        <f t="shared" si="3"/>
        <v>-18</v>
      </c>
      <c r="G17" s="229">
        <f t="shared" si="3"/>
        <v>123</v>
      </c>
      <c r="H17" s="229">
        <f t="shared" si="3"/>
        <v>264</v>
      </c>
      <c r="I17" s="229">
        <f t="shared" si="3"/>
        <v>405</v>
      </c>
      <c r="J17" s="229">
        <f t="shared" si="3"/>
        <v>546</v>
      </c>
      <c r="K17" s="229">
        <f t="shared" si="3"/>
        <v>687</v>
      </c>
      <c r="L17" s="229">
        <f t="shared" si="3"/>
        <v>828</v>
      </c>
      <c r="M17" s="229">
        <f t="shared" si="3"/>
        <v>969</v>
      </c>
      <c r="N17" s="229">
        <f t="shared" si="3"/>
        <v>1110</v>
      </c>
      <c r="O17" s="229">
        <f t="shared" si="3"/>
        <v>1251</v>
      </c>
      <c r="P17" s="229">
        <f t="shared" si="3"/>
        <v>1392</v>
      </c>
      <c r="Q17" s="229">
        <f t="shared" si="3"/>
        <v>1533</v>
      </c>
      <c r="R17" s="229">
        <f t="shared" si="3"/>
        <v>1674</v>
      </c>
      <c r="S17" s="229">
        <f t="shared" si="3"/>
        <v>1815</v>
      </c>
      <c r="T17" s="229">
        <f t="shared" si="3"/>
        <v>1956</v>
      </c>
      <c r="U17" s="228">
        <f t="shared" si="3"/>
        <v>2097</v>
      </c>
    </row>
    <row r="18" spans="1:21" s="219" customFormat="1" ht="20.25" customHeight="1">
      <c r="B18" s="227"/>
      <c r="C18" s="227"/>
      <c r="D18" s="227"/>
      <c r="E18" s="227"/>
      <c r="F18" s="227"/>
      <c r="G18" s="227"/>
      <c r="H18" s="227"/>
      <c r="I18" s="227"/>
      <c r="J18" s="227"/>
      <c r="K18" s="227"/>
      <c r="L18" s="227"/>
      <c r="M18" s="227"/>
      <c r="N18" s="227"/>
      <c r="O18" s="227"/>
      <c r="P18" s="227"/>
      <c r="Q18" s="227"/>
      <c r="R18" s="227"/>
      <c r="S18" s="227"/>
      <c r="T18" s="227"/>
      <c r="U18" s="227"/>
    </row>
    <row r="19" spans="1:21" s="219" customFormat="1" ht="25.5" customHeight="1">
      <c r="A19" s="2" t="s">
        <v>61</v>
      </c>
      <c r="B19" s="226">
        <f>B16/(1+$L$7)^(B12-1)</f>
        <v>-60</v>
      </c>
      <c r="C19" s="226">
        <f t="shared" ref="C19:U19" si="4">C16/(1+$L$7)^(C12-1)</f>
        <v>-111.19447098508212</v>
      </c>
      <c r="D19" s="226">
        <f t="shared" si="4"/>
        <v>-49.456841510609088</v>
      </c>
      <c r="E19" s="226">
        <f t="shared" si="4"/>
        <v>57.437418762925702</v>
      </c>
      <c r="F19" s="226">
        <f t="shared" si="4"/>
        <v>42.57815596061436</v>
      </c>
      <c r="G19" s="226">
        <f t="shared" si="4"/>
        <v>31.563036850405563</v>
      </c>
      <c r="H19" s="226">
        <f t="shared" si="4"/>
        <v>23.397567901756666</v>
      </c>
      <c r="I19" s="226">
        <f t="shared" si="4"/>
        <v>17.344534567822468</v>
      </c>
      <c r="J19" s="226">
        <f t="shared" si="4"/>
        <v>12.857442305009931</v>
      </c>
      <c r="K19" s="226">
        <f t="shared" si="4"/>
        <v>9.5311766355119616</v>
      </c>
      <c r="L19" s="226">
        <f t="shared" si="4"/>
        <v>7.0654276256741841</v>
      </c>
      <c r="M19" s="226">
        <f t="shared" si="4"/>
        <v>5.2375765808015045</v>
      </c>
      <c r="N19" s="226">
        <f t="shared" si="4"/>
        <v>3.8825970476405236</v>
      </c>
      <c r="O19" s="226">
        <f t="shared" si="4"/>
        <v>2.8781554984041979</v>
      </c>
      <c r="P19" s="226">
        <f t="shared" si="4"/>
        <v>2.133566520385735</v>
      </c>
      <c r="Q19" s="226">
        <f t="shared" si="4"/>
        <v>1.5816053369718281</v>
      </c>
      <c r="R19" s="226">
        <f t="shared" si="4"/>
        <v>1.1724384583451</v>
      </c>
      <c r="S19" s="226">
        <f t="shared" si="4"/>
        <v>0.86912449425499094</v>
      </c>
      <c r="T19" s="226">
        <f t="shared" si="4"/>
        <v>0.64427892239240514</v>
      </c>
      <c r="U19" s="225">
        <f t="shared" si="4"/>
        <v>0.47760169294841504</v>
      </c>
    </row>
    <row r="20" spans="1:21" s="219" customFormat="1" ht="25.5" customHeight="1">
      <c r="A20" s="2" t="s">
        <v>60</v>
      </c>
      <c r="B20" s="224">
        <f>L7</f>
        <v>0.34898793682038398</v>
      </c>
      <c r="C20" s="223">
        <f>SUM(B19:U19)</f>
        <v>3.9266617434907669E-4</v>
      </c>
      <c r="D20" s="222" t="s">
        <v>1</v>
      </c>
      <c r="I20" s="346"/>
    </row>
    <row r="21" spans="1:21" s="219" customFormat="1" ht="25.5" customHeight="1">
      <c r="A21" s="2" t="s">
        <v>59</v>
      </c>
      <c r="B21" s="221">
        <f>L7</f>
        <v>0.34898793682038398</v>
      </c>
      <c r="C21" s="220"/>
    </row>
    <row r="22" spans="1:21" s="219" customFormat="1" ht="25.5" customHeight="1">
      <c r="A22" s="2" t="s">
        <v>2</v>
      </c>
      <c r="B22" s="221">
        <f>IRR(B16:U16)</f>
        <v>0.34898843613821784</v>
      </c>
      <c r="C22" s="220"/>
    </row>
    <row r="23" spans="1:21" s="219" customFormat="1" ht="19.5" customHeight="1"/>
    <row r="24" spans="1:21" s="219" customFormat="1" ht="19.5" customHeight="1"/>
    <row r="25" spans="1:21" s="219" customFormat="1" ht="19.5" customHeight="1"/>
    <row r="27" spans="1:21">
      <c r="B27" s="217"/>
    </row>
  </sheetData>
  <mergeCells count="2">
    <mergeCell ref="J7:K7"/>
    <mergeCell ref="A1:U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0"/>
  <sheetViews>
    <sheetView rightToLeft="1" topLeftCell="A2" zoomScaleNormal="100" workbookViewId="0">
      <selection activeCell="A5" sqref="A5"/>
    </sheetView>
  </sheetViews>
  <sheetFormatPr defaultColWidth="8.88671875" defaultRowHeight="14.4"/>
  <cols>
    <col min="1" max="1" width="19.33203125" style="3" customWidth="1"/>
    <col min="2" max="2" width="7" style="3" customWidth="1"/>
    <col min="3" max="3" width="11.88671875" style="3" customWidth="1"/>
    <col min="4" max="5" width="13.6640625" style="3" customWidth="1"/>
    <col min="6" max="7" width="12.6640625" style="3" customWidth="1"/>
    <col min="8" max="13" width="9.44140625" style="3" bestFit="1" customWidth="1"/>
    <col min="14" max="14" width="21.6640625" style="3" customWidth="1"/>
    <col min="15" max="15" width="9.44140625" style="3" bestFit="1" customWidth="1"/>
    <col min="16" max="16" width="19.109375" style="3" customWidth="1"/>
    <col min="17" max="16384" width="8.88671875" style="3"/>
  </cols>
  <sheetData>
    <row r="1" spans="1:17" ht="28.5" customHeight="1">
      <c r="A1" s="456" t="s">
        <v>111</v>
      </c>
      <c r="B1" s="456"/>
      <c r="C1" s="456"/>
      <c r="D1" s="456"/>
      <c r="E1" s="456"/>
      <c r="F1" s="456"/>
      <c r="G1" s="456"/>
      <c r="H1" s="456"/>
      <c r="I1" s="456"/>
      <c r="J1" s="456"/>
      <c r="K1" s="456"/>
      <c r="L1" s="456"/>
      <c r="M1" s="456"/>
      <c r="N1" s="456"/>
      <c r="O1" s="456"/>
      <c r="P1" s="456"/>
      <c r="Q1" s="456"/>
    </row>
    <row r="2" spans="1:17" ht="47.25" customHeight="1">
      <c r="A2" s="456"/>
      <c r="B2" s="456"/>
      <c r="C2" s="456"/>
      <c r="D2" s="456"/>
      <c r="E2" s="456"/>
      <c r="F2" s="456"/>
      <c r="G2" s="456"/>
      <c r="H2" s="456"/>
      <c r="I2" s="456"/>
      <c r="J2" s="456"/>
      <c r="K2" s="456"/>
      <c r="L2" s="456"/>
      <c r="M2" s="456"/>
      <c r="N2" s="456"/>
      <c r="O2" s="456"/>
      <c r="P2" s="456"/>
      <c r="Q2" s="456"/>
    </row>
    <row r="3" spans="1:17" ht="23.25" customHeight="1">
      <c r="A3" s="456"/>
      <c r="B3" s="456"/>
      <c r="C3" s="456"/>
      <c r="D3" s="456"/>
      <c r="E3" s="456"/>
      <c r="F3" s="456"/>
      <c r="G3" s="456"/>
      <c r="H3" s="456"/>
      <c r="I3" s="456"/>
      <c r="J3" s="456"/>
      <c r="K3" s="456"/>
      <c r="L3" s="456"/>
      <c r="M3" s="456"/>
      <c r="N3" s="456"/>
      <c r="O3" s="456"/>
      <c r="P3" s="456"/>
      <c r="Q3" s="456"/>
    </row>
    <row r="4" spans="1:17" ht="33.75" customHeight="1">
      <c r="A4" s="456"/>
      <c r="B4" s="456"/>
      <c r="C4" s="456"/>
      <c r="D4" s="456"/>
      <c r="E4" s="456"/>
      <c r="F4" s="456"/>
      <c r="G4" s="456"/>
      <c r="H4" s="456"/>
      <c r="I4" s="456"/>
      <c r="J4" s="456"/>
      <c r="K4" s="456"/>
      <c r="L4" s="456"/>
      <c r="M4" s="456"/>
      <c r="N4" s="456"/>
      <c r="O4" s="456"/>
      <c r="P4" s="456"/>
      <c r="Q4" s="456"/>
    </row>
    <row r="5" spans="1:17" s="115" customFormat="1" ht="9" customHeight="1"/>
    <row r="6" spans="1:17" ht="28.5" customHeight="1">
      <c r="A6" s="114" t="s">
        <v>35</v>
      </c>
      <c r="B6" s="113"/>
      <c r="C6" s="113"/>
    </row>
    <row r="7" spans="1:17" ht="26.25" customHeight="1">
      <c r="A7" s="112" t="s">
        <v>28</v>
      </c>
      <c r="B7" s="36">
        <v>1000</v>
      </c>
      <c r="C7" s="35" t="s">
        <v>19</v>
      </c>
      <c r="E7" s="111" t="s">
        <v>34</v>
      </c>
      <c r="F7" s="110"/>
      <c r="G7" s="110"/>
      <c r="H7" s="110"/>
      <c r="I7" s="110"/>
      <c r="J7" s="110"/>
      <c r="K7" s="110"/>
      <c r="L7" s="109"/>
      <c r="N7" s="108" t="s">
        <v>33</v>
      </c>
      <c r="O7" s="107"/>
      <c r="P7" s="106"/>
    </row>
    <row r="8" spans="1:17" ht="18.600000000000001">
      <c r="A8" s="24" t="s">
        <v>26</v>
      </c>
      <c r="B8" s="27">
        <v>0.75</v>
      </c>
      <c r="C8" s="33"/>
      <c r="D8" s="16"/>
      <c r="E8" s="105">
        <v>0.2</v>
      </c>
      <c r="F8" s="104">
        <v>0.5</v>
      </c>
      <c r="G8" s="104">
        <v>0.3</v>
      </c>
      <c r="H8" s="103"/>
      <c r="I8" s="103"/>
      <c r="J8" s="103"/>
      <c r="K8" s="103"/>
      <c r="L8" s="102"/>
      <c r="N8" s="101">
        <v>0.2</v>
      </c>
      <c r="O8" s="100">
        <v>0.5</v>
      </c>
      <c r="P8" s="99">
        <v>0.3</v>
      </c>
    </row>
    <row r="9" spans="1:17" ht="20.399999999999999">
      <c r="A9" s="24" t="s">
        <v>25</v>
      </c>
      <c r="B9" s="31">
        <f>B7*B8</f>
        <v>750</v>
      </c>
      <c r="C9" s="30" t="s">
        <v>19</v>
      </c>
      <c r="E9" s="98">
        <v>1</v>
      </c>
      <c r="F9" s="97">
        <v>2</v>
      </c>
      <c r="G9" s="97">
        <v>3</v>
      </c>
      <c r="H9" s="97">
        <v>4</v>
      </c>
      <c r="I9" s="97">
        <v>5</v>
      </c>
      <c r="J9" s="97">
        <v>6</v>
      </c>
      <c r="K9" s="97">
        <v>7</v>
      </c>
      <c r="L9" s="96">
        <v>8</v>
      </c>
      <c r="N9" s="95" t="s">
        <v>24</v>
      </c>
      <c r="O9" s="94" t="s">
        <v>23</v>
      </c>
      <c r="P9" s="93" t="s">
        <v>22</v>
      </c>
    </row>
    <row r="10" spans="1:17" ht="20.399999999999999">
      <c r="A10" s="24" t="s">
        <v>20</v>
      </c>
      <c r="B10" s="31">
        <f>B7-B9</f>
        <v>250</v>
      </c>
      <c r="C10" s="30" t="s">
        <v>19</v>
      </c>
      <c r="E10" s="92">
        <f>-$B$9*E8</f>
        <v>-150</v>
      </c>
      <c r="F10" s="91">
        <f>-$B$9*F8</f>
        <v>-375</v>
      </c>
      <c r="G10" s="91">
        <f>-$B$9*G8</f>
        <v>-225</v>
      </c>
      <c r="H10" s="91">
        <v>0</v>
      </c>
      <c r="I10" s="90">
        <f>$F$14</f>
        <v>262.47690441358941</v>
      </c>
      <c r="J10" s="90">
        <f>$F$14</f>
        <v>262.47690441358941</v>
      </c>
      <c r="K10" s="90">
        <f>$F$14</f>
        <v>262.47690441358941</v>
      </c>
      <c r="L10" s="89">
        <f>$F$14</f>
        <v>262.47690441358941</v>
      </c>
      <c r="N10" s="88">
        <f>-E17*$B$9</f>
        <v>-150</v>
      </c>
      <c r="O10" s="87">
        <f>-F17*$B$9</f>
        <v>-375</v>
      </c>
      <c r="P10" s="86">
        <f>-G17*$B$9</f>
        <v>-225</v>
      </c>
    </row>
    <row r="11" spans="1:17" ht="31.5" customHeight="1">
      <c r="A11" s="24" t="s">
        <v>18</v>
      </c>
      <c r="B11" s="27">
        <v>0.08</v>
      </c>
      <c r="C11" s="26"/>
      <c r="E11" s="85" t="s">
        <v>32</v>
      </c>
      <c r="F11" s="70"/>
      <c r="G11" s="70"/>
      <c r="H11" s="70"/>
      <c r="I11" s="84"/>
      <c r="J11" s="84"/>
      <c r="K11" s="84"/>
      <c r="L11" s="83"/>
      <c r="N11" s="82"/>
      <c r="O11" s="81"/>
      <c r="P11" s="80"/>
    </row>
    <row r="12" spans="1:17" ht="39.75" customHeight="1">
      <c r="A12" s="24" t="s">
        <v>17</v>
      </c>
      <c r="B12" s="23">
        <v>1</v>
      </c>
      <c r="C12" s="22" t="s">
        <v>14</v>
      </c>
      <c r="E12" s="79">
        <f t="shared" ref="E12:L12" si="0">E10/(1+$B$11)^(E9-1)</f>
        <v>-150</v>
      </c>
      <c r="F12" s="79">
        <f t="shared" si="0"/>
        <v>-347.22222222222217</v>
      </c>
      <c r="G12" s="79">
        <f t="shared" si="0"/>
        <v>-192.90123456790121</v>
      </c>
      <c r="H12" s="79">
        <f t="shared" si="0"/>
        <v>0</v>
      </c>
      <c r="I12" s="79">
        <f t="shared" si="0"/>
        <v>192.92836041358936</v>
      </c>
      <c r="J12" s="79">
        <f t="shared" si="0"/>
        <v>178.63737075332347</v>
      </c>
      <c r="K12" s="79">
        <f t="shared" si="0"/>
        <v>165.40497291974393</v>
      </c>
      <c r="L12" s="78">
        <f t="shared" si="0"/>
        <v>153.1527527034666</v>
      </c>
      <c r="M12" s="45"/>
      <c r="N12" s="76" t="s">
        <v>31</v>
      </c>
      <c r="O12" s="75">
        <f>PMT(B11,4,FV(B11,3,0,N10,0),0,0)</f>
        <v>-57.049989063061034</v>
      </c>
      <c r="P12" s="66"/>
    </row>
    <row r="13" spans="1:17" ht="39.75" customHeight="1">
      <c r="A13" s="21" t="s">
        <v>15</v>
      </c>
      <c r="B13" s="20">
        <v>8</v>
      </c>
      <c r="C13" s="19" t="s">
        <v>14</v>
      </c>
      <c r="E13" s="77"/>
      <c r="F13" s="70"/>
      <c r="G13" s="70"/>
      <c r="H13" s="70"/>
      <c r="I13" s="70"/>
      <c r="J13" s="70"/>
      <c r="K13" s="70"/>
      <c r="L13" s="69"/>
      <c r="N13" s="76" t="s">
        <v>13</v>
      </c>
      <c r="O13" s="75">
        <f>PMT(B11,4,FV(B11,2,0,O10,0),0,0)</f>
        <v>-132.06015986819682</v>
      </c>
      <c r="P13" s="66"/>
    </row>
    <row r="14" spans="1:17" ht="39.75" customHeight="1">
      <c r="E14" s="74" t="s">
        <v>10</v>
      </c>
      <c r="F14" s="73">
        <v>262.47690441358941</v>
      </c>
      <c r="G14" s="70"/>
      <c r="H14" s="70"/>
      <c r="I14" s="72">
        <f>SUM(E12:L12)</f>
        <v>0</v>
      </c>
      <c r="J14" s="71" t="s">
        <v>3</v>
      </c>
      <c r="K14" s="70"/>
      <c r="L14" s="69"/>
      <c r="N14" s="68" t="s">
        <v>12</v>
      </c>
      <c r="O14" s="67">
        <f>PMT(B11,4,FV(B11,1,0,P10,0),0,0)</f>
        <v>-73.36675548233157</v>
      </c>
      <c r="P14" s="66"/>
    </row>
    <row r="15" spans="1:17" ht="36.75" customHeight="1">
      <c r="A15" s="58"/>
      <c r="E15" s="65"/>
      <c r="F15" s="63"/>
      <c r="G15" s="63"/>
      <c r="H15" s="63"/>
      <c r="I15" s="64"/>
      <c r="J15" s="63"/>
      <c r="K15" s="63"/>
      <c r="L15" s="62"/>
      <c r="N15" s="61" t="s">
        <v>10</v>
      </c>
      <c r="O15" s="60">
        <f>SUM(O12:O14)</f>
        <v>-262.47690441358941</v>
      </c>
      <c r="P15" s="59"/>
    </row>
    <row r="16" spans="1:17" ht="16.350000000000001" customHeight="1">
      <c r="A16" s="58"/>
      <c r="D16" s="45"/>
      <c r="E16" s="44"/>
      <c r="F16" s="57"/>
      <c r="G16" s="57"/>
      <c r="I16" s="56"/>
    </row>
    <row r="17" spans="1:12" ht="16.350000000000001" customHeight="1">
      <c r="A17" s="38"/>
      <c r="D17" s="45"/>
      <c r="E17" s="55">
        <v>0.2</v>
      </c>
      <c r="F17" s="55">
        <v>0.5</v>
      </c>
      <c r="G17" s="55">
        <v>0.3</v>
      </c>
    </row>
    <row r="18" spans="1:12" ht="18.75" customHeight="1">
      <c r="A18" s="38"/>
      <c r="D18" s="45"/>
      <c r="E18" s="435" t="s">
        <v>9</v>
      </c>
      <c r="F18" s="436"/>
      <c r="G18" s="436"/>
      <c r="H18" s="436"/>
      <c r="I18" s="436"/>
      <c r="J18" s="436"/>
      <c r="K18" s="436"/>
      <c r="L18" s="437"/>
    </row>
    <row r="19" spans="1:12" ht="16.350000000000001" customHeight="1">
      <c r="A19" s="38"/>
      <c r="D19" s="45"/>
      <c r="E19" s="54">
        <v>1</v>
      </c>
      <c r="F19" s="53">
        <v>2</v>
      </c>
      <c r="G19" s="53">
        <v>3</v>
      </c>
      <c r="H19" s="52">
        <v>4</v>
      </c>
      <c r="I19" s="52">
        <v>5</v>
      </c>
      <c r="J19" s="52">
        <v>6</v>
      </c>
      <c r="K19" s="52">
        <v>7</v>
      </c>
      <c r="L19" s="51">
        <v>8</v>
      </c>
    </row>
    <row r="20" spans="1:12" ht="16.350000000000001" customHeight="1">
      <c r="A20" s="433" t="s">
        <v>8</v>
      </c>
      <c r="B20" s="433"/>
      <c r="C20" s="433"/>
      <c r="D20" s="434"/>
      <c r="E20" s="50">
        <f>-$B$10*E17</f>
        <v>-50</v>
      </c>
      <c r="F20" s="49">
        <f>-$B$10*F17</f>
        <v>-125</v>
      </c>
      <c r="G20" s="49">
        <f>-$B$10*G17</f>
        <v>-75</v>
      </c>
      <c r="H20" s="48">
        <v>0</v>
      </c>
      <c r="I20" s="47">
        <f>O15</f>
        <v>-262.47690441358941</v>
      </c>
      <c r="J20" s="47">
        <f>I20</f>
        <v>-262.47690441358941</v>
      </c>
      <c r="K20" s="47">
        <f>J20</f>
        <v>-262.47690441358941</v>
      </c>
      <c r="L20" s="46">
        <f>K20</f>
        <v>-262.47690441358941</v>
      </c>
    </row>
    <row r="21" spans="1:12" ht="16.350000000000001" customHeight="1">
      <c r="A21" s="38"/>
      <c r="D21" s="45"/>
      <c r="E21" s="44"/>
      <c r="F21" s="44"/>
      <c r="G21" s="44"/>
      <c r="H21" s="44"/>
      <c r="I21" s="44"/>
      <c r="J21" s="44"/>
      <c r="K21" s="44"/>
      <c r="L21" s="44"/>
    </row>
    <row r="22" spans="1:12" ht="24.75" customHeight="1">
      <c r="A22" s="38"/>
      <c r="D22" s="43" t="s">
        <v>30</v>
      </c>
      <c r="E22" s="7">
        <f>NPV(15%,F20:L20)+E20</f>
        <v>-708.12665920125971</v>
      </c>
      <c r="F22" s="6" t="s">
        <v>3</v>
      </c>
    </row>
    <row r="23" spans="1:12" s="39" customFormat="1" ht="12" customHeight="1">
      <c r="A23" s="42"/>
      <c r="E23" s="41"/>
      <c r="F23" s="40"/>
    </row>
    <row r="24" spans="1:12" ht="36.6">
      <c r="A24" s="38" t="s">
        <v>29</v>
      </c>
    </row>
    <row r="25" spans="1:12" ht="20.399999999999999">
      <c r="A25" s="37" t="s">
        <v>28</v>
      </c>
      <c r="B25" s="36">
        <v>930</v>
      </c>
      <c r="C25" s="35" t="s">
        <v>19</v>
      </c>
      <c r="E25" s="34" t="s">
        <v>27</v>
      </c>
    </row>
    <row r="26" spans="1:12" ht="18.600000000000001">
      <c r="A26" s="28" t="s">
        <v>26</v>
      </c>
      <c r="B26" s="27">
        <v>0.8</v>
      </c>
      <c r="C26" s="33"/>
      <c r="E26" s="32">
        <v>0.15</v>
      </c>
      <c r="F26" s="32">
        <v>0.3</v>
      </c>
      <c r="G26" s="32">
        <v>0.35</v>
      </c>
      <c r="H26" s="32">
        <v>0.2</v>
      </c>
    </row>
    <row r="27" spans="1:12" ht="20.399999999999999">
      <c r="A27" s="28" t="s">
        <v>25</v>
      </c>
      <c r="B27" s="31">
        <f>B25*B26</f>
        <v>744</v>
      </c>
      <c r="C27" s="30" t="s">
        <v>19</v>
      </c>
      <c r="E27" s="29" t="s">
        <v>24</v>
      </c>
      <c r="F27" s="29" t="s">
        <v>23</v>
      </c>
      <c r="G27" s="29" t="s">
        <v>22</v>
      </c>
      <c r="H27" s="29" t="s">
        <v>21</v>
      </c>
    </row>
    <row r="28" spans="1:12" ht="20.399999999999999">
      <c r="A28" s="28" t="s">
        <v>20</v>
      </c>
      <c r="B28" s="31">
        <f>B25-B27</f>
        <v>186</v>
      </c>
      <c r="C28" s="30" t="s">
        <v>19</v>
      </c>
      <c r="E28" s="29">
        <f>-$B$27*E26</f>
        <v>-111.6</v>
      </c>
      <c r="F28" s="29">
        <f>-$B$27*F26</f>
        <v>-223.2</v>
      </c>
      <c r="G28" s="29">
        <f>-$B$27*G26</f>
        <v>-260.39999999999998</v>
      </c>
      <c r="H28" s="29">
        <f>-$B$27*H26</f>
        <v>-148.80000000000001</v>
      </c>
    </row>
    <row r="29" spans="1:12" ht="18.600000000000001">
      <c r="A29" s="28" t="s">
        <v>18</v>
      </c>
      <c r="B29" s="27">
        <v>7.0000000000000007E-2</v>
      </c>
      <c r="C29" s="26"/>
      <c r="E29" s="25"/>
      <c r="G29" s="25"/>
    </row>
    <row r="30" spans="1:12" ht="46.5" customHeight="1">
      <c r="A30" s="24" t="s">
        <v>17</v>
      </c>
      <c r="B30" s="23">
        <v>1</v>
      </c>
      <c r="C30" s="22" t="s">
        <v>14</v>
      </c>
      <c r="E30" s="457" t="s">
        <v>16</v>
      </c>
      <c r="F30" s="458"/>
      <c r="G30" s="18">
        <f>PMT(B29,2,FV(B29,4,0,E28,0),0,0)</f>
        <v>-80.908940708380868</v>
      </c>
    </row>
    <row r="31" spans="1:12" ht="46.5" customHeight="1">
      <c r="A31" s="21" t="s">
        <v>15</v>
      </c>
      <c r="B31" s="20">
        <v>7</v>
      </c>
      <c r="C31" s="19" t="s">
        <v>14</v>
      </c>
      <c r="E31" s="457" t="s">
        <v>13</v>
      </c>
      <c r="F31" s="458"/>
      <c r="G31" s="18">
        <f>PMT(B29,2,FV(B29,3,0,F28,0),0,0)</f>
        <v>-151.23166487547829</v>
      </c>
    </row>
    <row r="32" spans="1:12" ht="46.5" customHeight="1">
      <c r="E32" s="457" t="s">
        <v>12</v>
      </c>
      <c r="F32" s="458"/>
      <c r="G32" s="18">
        <f>PMT(B29,2,FV(B29,2,0,G28,0),0,0)</f>
        <v>-164.89433864927534</v>
      </c>
    </row>
    <row r="33" spans="1:11" ht="46.5" customHeight="1">
      <c r="E33" s="457" t="s">
        <v>11</v>
      </c>
      <c r="F33" s="458"/>
      <c r="G33" s="18">
        <f>PMT(B29,2,FV(B29,1,0,H28,0),0,0)</f>
        <v>-88.061062028985518</v>
      </c>
    </row>
    <row r="34" spans="1:11" ht="42" customHeight="1">
      <c r="E34" s="459" t="s">
        <v>10</v>
      </c>
      <c r="F34" s="460"/>
      <c r="G34" s="17">
        <f>SUM(G30:G33)</f>
        <v>-485.09600626212006</v>
      </c>
    </row>
    <row r="35" spans="1:11" ht="22.5" customHeight="1">
      <c r="C35" s="16"/>
      <c r="D35" s="16"/>
    </row>
    <row r="36" spans="1:11" ht="23.25" customHeight="1">
      <c r="E36" s="435" t="s">
        <v>9</v>
      </c>
      <c r="F36" s="436"/>
      <c r="G36" s="436"/>
      <c r="H36" s="436"/>
      <c r="I36" s="436"/>
      <c r="J36" s="436"/>
      <c r="K36" s="437"/>
    </row>
    <row r="37" spans="1:11" ht="18" customHeight="1">
      <c r="E37" s="15">
        <v>1</v>
      </c>
      <c r="F37" s="14">
        <v>2</v>
      </c>
      <c r="G37" s="14">
        <v>3</v>
      </c>
      <c r="H37" s="14">
        <v>4</v>
      </c>
      <c r="I37" s="13">
        <v>5</v>
      </c>
      <c r="J37" s="13">
        <v>6</v>
      </c>
      <c r="K37" s="12">
        <v>7</v>
      </c>
    </row>
    <row r="38" spans="1:11" ht="18" customHeight="1">
      <c r="A38" s="433" t="s">
        <v>8</v>
      </c>
      <c r="B38" s="433"/>
      <c r="C38" s="433"/>
      <c r="D38" s="433"/>
      <c r="E38" s="11">
        <f>-($B$28)*E26</f>
        <v>-27.9</v>
      </c>
      <c r="F38" s="9">
        <f>-($B$28)*F26</f>
        <v>-55.8</v>
      </c>
      <c r="G38" s="9">
        <f>-($B$28)*G26</f>
        <v>-65.099999999999994</v>
      </c>
      <c r="H38" s="10">
        <f>-($B$28)*H26-300</f>
        <v>-337.2</v>
      </c>
      <c r="I38" s="9">
        <v>0</v>
      </c>
      <c r="J38" s="9">
        <f>G34</f>
        <v>-485.09600626212006</v>
      </c>
      <c r="K38" s="8">
        <f>J38</f>
        <v>-485.09600626212006</v>
      </c>
    </row>
    <row r="40" spans="1:11" ht="21.75" customHeight="1">
      <c r="E40" s="7">
        <f>NPV(15%,F38:K38)+E38</f>
        <v>-798.26000432076137</v>
      </c>
      <c r="F40" s="6" t="s">
        <v>3</v>
      </c>
      <c r="G40" s="5"/>
    </row>
  </sheetData>
  <mergeCells count="10">
    <mergeCell ref="A38:D38"/>
    <mergeCell ref="E18:L18"/>
    <mergeCell ref="A1:Q4"/>
    <mergeCell ref="E30:F30"/>
    <mergeCell ref="E31:F31"/>
    <mergeCell ref="E32:F32"/>
    <mergeCell ref="E34:F34"/>
    <mergeCell ref="A20:D20"/>
    <mergeCell ref="E33:F33"/>
    <mergeCell ref="E36:K36"/>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36"/>
  <sheetViews>
    <sheetView rightToLeft="1" topLeftCell="A6" zoomScale="115" zoomScaleNormal="115" workbookViewId="0">
      <selection activeCell="A23" sqref="A23"/>
    </sheetView>
  </sheetViews>
  <sheetFormatPr defaultColWidth="8.88671875" defaultRowHeight="14.4"/>
  <cols>
    <col min="1" max="1" width="24.33203125" style="3" bestFit="1" customWidth="1"/>
    <col min="2" max="2" width="7.44140625" style="116" customWidth="1"/>
    <col min="3" max="3" width="10" style="3" bestFit="1" customWidth="1"/>
    <col min="4" max="4" width="10" style="3" customWidth="1"/>
    <col min="5" max="5" width="17.33203125" style="3" customWidth="1"/>
    <col min="6" max="6" width="9" style="3" bestFit="1" customWidth="1"/>
    <col min="7" max="7" width="10.33203125" style="3" bestFit="1" customWidth="1"/>
    <col min="8" max="8" width="10" style="3" bestFit="1" customWidth="1"/>
    <col min="9" max="9" width="9.5546875" style="3" customWidth="1"/>
    <col min="10" max="11" width="10" style="3" bestFit="1" customWidth="1"/>
    <col min="12" max="20" width="9" style="3" bestFit="1" customWidth="1"/>
    <col min="21" max="16384" width="8.88671875" style="3"/>
  </cols>
  <sheetData>
    <row r="1" spans="1:25" ht="37.5" customHeight="1">
      <c r="A1" s="463" t="s">
        <v>112</v>
      </c>
      <c r="B1" s="463"/>
      <c r="C1" s="463"/>
      <c r="D1" s="463"/>
      <c r="E1" s="463"/>
      <c r="F1" s="463"/>
      <c r="G1" s="463"/>
      <c r="H1" s="463"/>
      <c r="I1" s="463"/>
      <c r="J1" s="463"/>
      <c r="K1" s="463"/>
      <c r="L1" s="463"/>
      <c r="M1" s="463"/>
      <c r="N1" s="463"/>
      <c r="O1" s="463"/>
      <c r="P1" s="463"/>
      <c r="Q1" s="463"/>
      <c r="R1" s="463"/>
      <c r="S1" s="463"/>
      <c r="T1" s="463"/>
    </row>
    <row r="2" spans="1:25" ht="24" customHeight="1">
      <c r="A2" s="463"/>
      <c r="B2" s="463"/>
      <c r="C2" s="463"/>
      <c r="D2" s="463"/>
      <c r="E2" s="463"/>
      <c r="F2" s="463"/>
      <c r="G2" s="463"/>
      <c r="H2" s="463"/>
      <c r="I2" s="463"/>
      <c r="J2" s="463"/>
      <c r="K2" s="463"/>
      <c r="L2" s="463"/>
      <c r="M2" s="463"/>
      <c r="N2" s="463"/>
      <c r="O2" s="463"/>
      <c r="P2" s="463"/>
      <c r="Q2" s="463"/>
      <c r="R2" s="463"/>
      <c r="S2" s="463"/>
      <c r="T2" s="463"/>
    </row>
    <row r="3" spans="1:25" ht="69.75" customHeight="1">
      <c r="A3" s="463"/>
      <c r="B3" s="463"/>
      <c r="C3" s="463"/>
      <c r="D3" s="463"/>
      <c r="E3" s="463"/>
      <c r="F3" s="463"/>
      <c r="G3" s="463"/>
      <c r="H3" s="463"/>
      <c r="I3" s="463"/>
      <c r="J3" s="463"/>
      <c r="K3" s="463"/>
      <c r="L3" s="463"/>
      <c r="M3" s="463"/>
      <c r="N3" s="463"/>
      <c r="O3" s="463"/>
      <c r="P3" s="463"/>
      <c r="Q3" s="463"/>
      <c r="R3" s="463"/>
      <c r="S3" s="463"/>
      <c r="T3" s="463"/>
    </row>
    <row r="4" spans="1:25" s="159" customFormat="1" ht="12" customHeight="1">
      <c r="B4" s="160"/>
    </row>
    <row r="5" spans="1:25" ht="18.600000000000001">
      <c r="A5" s="37" t="s">
        <v>47</v>
      </c>
      <c r="B5" s="138">
        <v>1500</v>
      </c>
      <c r="C5" s="35" t="s">
        <v>36</v>
      </c>
      <c r="D5" s="31"/>
      <c r="E5" s="31"/>
    </row>
    <row r="6" spans="1:25" ht="18.600000000000001">
      <c r="A6" s="28" t="s">
        <v>46</v>
      </c>
      <c r="B6" s="123">
        <v>2000</v>
      </c>
      <c r="C6" s="30" t="s">
        <v>36</v>
      </c>
      <c r="D6" s="31"/>
      <c r="E6" s="31"/>
      <c r="F6" s="137">
        <v>1</v>
      </c>
      <c r="G6" s="136">
        <v>2</v>
      </c>
      <c r="H6" s="136">
        <v>3</v>
      </c>
      <c r="I6" s="136">
        <v>4</v>
      </c>
      <c r="J6" s="136">
        <v>5</v>
      </c>
      <c r="K6" s="136">
        <v>6</v>
      </c>
      <c r="L6" s="136">
        <v>7</v>
      </c>
      <c r="M6" s="136">
        <v>8</v>
      </c>
      <c r="N6" s="136">
        <v>9</v>
      </c>
      <c r="O6" s="136">
        <v>10</v>
      </c>
      <c r="P6" s="136">
        <v>11</v>
      </c>
      <c r="Q6" s="136">
        <v>12</v>
      </c>
      <c r="R6" s="136">
        <v>13</v>
      </c>
      <c r="S6" s="136">
        <v>14</v>
      </c>
      <c r="T6" s="136">
        <v>15</v>
      </c>
      <c r="U6" s="136">
        <v>16</v>
      </c>
      <c r="V6" s="136">
        <v>17</v>
      </c>
      <c r="W6" s="136">
        <v>18</v>
      </c>
      <c r="X6" s="136">
        <v>19</v>
      </c>
      <c r="Y6" s="135">
        <v>20</v>
      </c>
    </row>
    <row r="7" spans="1:25" ht="18.600000000000001">
      <c r="A7" s="28" t="s">
        <v>45</v>
      </c>
      <c r="B7" s="129">
        <v>0.3</v>
      </c>
      <c r="C7" s="128" t="s">
        <v>41</v>
      </c>
      <c r="D7" s="116"/>
      <c r="E7" s="112" t="s">
        <v>44</v>
      </c>
      <c r="F7" s="158">
        <f>-B7*I17</f>
        <v>-695.74911208859589</v>
      </c>
      <c r="G7" s="157">
        <f>-0.7*$I$17/3</f>
        <v>-541.13819829113015</v>
      </c>
      <c r="H7" s="157">
        <f>-0.7*$I$17/3</f>
        <v>-541.13819829113015</v>
      </c>
      <c r="I7" s="157">
        <f>-0.7*$I$17/3</f>
        <v>-541.13819829113015</v>
      </c>
      <c r="J7" s="156"/>
      <c r="K7" s="136"/>
      <c r="L7" s="136"/>
      <c r="M7" s="136"/>
      <c r="N7" s="136"/>
      <c r="O7" s="136"/>
      <c r="P7" s="136"/>
      <c r="Q7" s="136"/>
      <c r="R7" s="136"/>
      <c r="S7" s="136"/>
      <c r="T7" s="136"/>
      <c r="U7" s="156"/>
      <c r="V7" s="156"/>
      <c r="W7" s="156"/>
      <c r="X7" s="156"/>
      <c r="Y7" s="155"/>
    </row>
    <row r="8" spans="1:25" ht="18.600000000000001">
      <c r="A8" s="28"/>
      <c r="B8" s="123"/>
      <c r="C8" s="30"/>
      <c r="D8" s="31"/>
      <c r="E8" s="28" t="s">
        <v>50</v>
      </c>
      <c r="F8" s="154"/>
      <c r="H8" s="153">
        <f>$I$15</f>
        <v>-639.55568358957373</v>
      </c>
      <c r="I8" s="153">
        <f>$I$15</f>
        <v>-639.55568358957373</v>
      </c>
      <c r="J8" s="153">
        <f>$I$15</f>
        <v>-639.55568358957373</v>
      </c>
      <c r="K8" s="153">
        <f>$I$15</f>
        <v>-639.55568358957373</v>
      </c>
      <c r="L8" s="153">
        <f>$I$15</f>
        <v>-639.55568358957373</v>
      </c>
      <c r="M8" s="148"/>
      <c r="N8" s="148"/>
      <c r="O8" s="148"/>
      <c r="P8" s="148"/>
      <c r="Q8" s="148"/>
      <c r="R8" s="148"/>
      <c r="S8" s="148"/>
      <c r="T8" s="148"/>
      <c r="Y8" s="147"/>
    </row>
    <row r="9" spans="1:25" ht="18.600000000000001">
      <c r="A9" s="28" t="s">
        <v>42</v>
      </c>
      <c r="B9" s="129">
        <v>0.15</v>
      </c>
      <c r="C9" s="128" t="s">
        <v>41</v>
      </c>
      <c r="D9" s="116"/>
      <c r="E9" s="28" t="s">
        <v>49</v>
      </c>
      <c r="F9" s="152"/>
      <c r="G9" s="148"/>
      <c r="H9" s="148">
        <v>800</v>
      </c>
      <c r="I9" s="148">
        <f t="shared" ref="I9:Y9" si="0">H9</f>
        <v>800</v>
      </c>
      <c r="J9" s="148">
        <f t="shared" si="0"/>
        <v>800</v>
      </c>
      <c r="K9" s="148">
        <f t="shared" si="0"/>
        <v>800</v>
      </c>
      <c r="L9" s="148">
        <f t="shared" si="0"/>
        <v>800</v>
      </c>
      <c r="M9" s="148">
        <f t="shared" si="0"/>
        <v>800</v>
      </c>
      <c r="N9" s="148">
        <f t="shared" si="0"/>
        <v>800</v>
      </c>
      <c r="O9" s="148">
        <f t="shared" si="0"/>
        <v>800</v>
      </c>
      <c r="P9" s="148">
        <f t="shared" si="0"/>
        <v>800</v>
      </c>
      <c r="Q9" s="148">
        <f t="shared" si="0"/>
        <v>800</v>
      </c>
      <c r="R9" s="148">
        <f t="shared" si="0"/>
        <v>800</v>
      </c>
      <c r="S9" s="148">
        <f t="shared" si="0"/>
        <v>800</v>
      </c>
      <c r="T9" s="148">
        <f t="shared" si="0"/>
        <v>800</v>
      </c>
      <c r="U9" s="148">
        <f t="shared" si="0"/>
        <v>800</v>
      </c>
      <c r="V9" s="148">
        <f t="shared" si="0"/>
        <v>800</v>
      </c>
      <c r="W9" s="148">
        <f t="shared" si="0"/>
        <v>800</v>
      </c>
      <c r="X9" s="148">
        <f t="shared" si="0"/>
        <v>800</v>
      </c>
      <c r="Y9" s="151">
        <f t="shared" si="0"/>
        <v>800</v>
      </c>
    </row>
    <row r="10" spans="1:25" ht="18.600000000000001">
      <c r="A10" s="28" t="s">
        <v>40</v>
      </c>
      <c r="B10" s="123">
        <v>500</v>
      </c>
      <c r="C10" s="30" t="s">
        <v>36</v>
      </c>
      <c r="D10" s="116"/>
      <c r="E10" s="28" t="s">
        <v>40</v>
      </c>
      <c r="F10" s="150">
        <f>-B10/2</f>
        <v>-250</v>
      </c>
      <c r="G10" s="149">
        <f>F10</f>
        <v>-250</v>
      </c>
      <c r="H10" s="148"/>
      <c r="I10" s="148"/>
      <c r="J10" s="148"/>
      <c r="K10" s="148"/>
      <c r="L10" s="148"/>
      <c r="M10" s="148"/>
      <c r="N10" s="148"/>
      <c r="O10" s="148"/>
      <c r="P10" s="148"/>
      <c r="Q10" s="148"/>
      <c r="R10" s="148"/>
      <c r="S10" s="148"/>
      <c r="T10" s="148"/>
      <c r="Y10" s="147"/>
    </row>
    <row r="11" spans="1:25" ht="18.600000000000001">
      <c r="A11" s="28"/>
      <c r="B11" s="123"/>
      <c r="C11" s="30"/>
      <c r="D11" s="31"/>
      <c r="E11" s="127" t="s">
        <v>7</v>
      </c>
      <c r="F11" s="146">
        <f>SUM(F7:F10)</f>
        <v>-945.74911208859589</v>
      </c>
      <c r="G11" s="145">
        <f t="shared" ref="G11:Y11" si="1">SUM(G7:G10)</f>
        <v>-791.13819829113015</v>
      </c>
      <c r="H11" s="145">
        <f t="shared" si="1"/>
        <v>-380.69388188070388</v>
      </c>
      <c r="I11" s="145">
        <f t="shared" si="1"/>
        <v>-380.69388188070388</v>
      </c>
      <c r="J11" s="145">
        <f t="shared" si="1"/>
        <v>160.44431641042627</v>
      </c>
      <c r="K11" s="145">
        <f t="shared" si="1"/>
        <v>160.44431641042627</v>
      </c>
      <c r="L11" s="145">
        <f t="shared" si="1"/>
        <v>160.44431641042627</v>
      </c>
      <c r="M11" s="145">
        <f t="shared" si="1"/>
        <v>800</v>
      </c>
      <c r="N11" s="145">
        <f t="shared" si="1"/>
        <v>800</v>
      </c>
      <c r="O11" s="145">
        <f t="shared" si="1"/>
        <v>800</v>
      </c>
      <c r="P11" s="145">
        <f t="shared" si="1"/>
        <v>800</v>
      </c>
      <c r="Q11" s="145">
        <f t="shared" si="1"/>
        <v>800</v>
      </c>
      <c r="R11" s="145">
        <f t="shared" si="1"/>
        <v>800</v>
      </c>
      <c r="S11" s="145">
        <f t="shared" si="1"/>
        <v>800</v>
      </c>
      <c r="T11" s="145">
        <f t="shared" si="1"/>
        <v>800</v>
      </c>
      <c r="U11" s="145">
        <f t="shared" si="1"/>
        <v>800</v>
      </c>
      <c r="V11" s="145">
        <f t="shared" si="1"/>
        <v>800</v>
      </c>
      <c r="W11" s="145">
        <f t="shared" si="1"/>
        <v>800</v>
      </c>
      <c r="X11" s="145">
        <f t="shared" si="1"/>
        <v>800</v>
      </c>
      <c r="Y11" s="144">
        <f t="shared" si="1"/>
        <v>800</v>
      </c>
    </row>
    <row r="12" spans="1:25" ht="18.600000000000001">
      <c r="A12" s="28" t="s">
        <v>39</v>
      </c>
      <c r="B12" s="123">
        <v>3</v>
      </c>
      <c r="C12" s="30" t="s">
        <v>14</v>
      </c>
    </row>
    <row r="13" spans="1:25" ht="18.600000000000001">
      <c r="A13" s="122" t="s">
        <v>38</v>
      </c>
      <c r="B13" s="121">
        <v>500</v>
      </c>
      <c r="C13" s="120" t="s">
        <v>36</v>
      </c>
      <c r="D13" s="31"/>
      <c r="E13" s="31"/>
    </row>
    <row r="15" spans="1:25" ht="18.600000000000001">
      <c r="B15" s="3"/>
      <c r="G15" s="444" t="s">
        <v>48</v>
      </c>
      <c r="H15" s="445"/>
      <c r="I15" s="118">
        <f>PMT(18%,5,B6,0,0)</f>
        <v>-639.55568358957373</v>
      </c>
    </row>
    <row r="16" spans="1:25">
      <c r="A16" s="143"/>
    </row>
    <row r="17" spans="1:19" ht="20.399999999999999">
      <c r="B17" s="3"/>
      <c r="E17" s="142">
        <f>NPV(B9,F11:Y11)</f>
        <v>-1.019474360003622E-12</v>
      </c>
      <c r="F17" s="141" t="s">
        <v>3</v>
      </c>
      <c r="G17" s="461" t="s">
        <v>37</v>
      </c>
      <c r="H17" s="462"/>
      <c r="I17" s="140">
        <v>2319.1637069619865</v>
      </c>
      <c r="J17" s="139" t="s">
        <v>36</v>
      </c>
    </row>
    <row r="22" spans="1:19" ht="59.25" customHeight="1">
      <c r="A22" s="464" t="s">
        <v>113</v>
      </c>
      <c r="B22" s="465"/>
      <c r="C22" s="465"/>
      <c r="D22" s="465"/>
      <c r="E22" s="465"/>
      <c r="F22" s="465"/>
      <c r="G22" s="465"/>
      <c r="H22" s="465"/>
      <c r="I22" s="465"/>
      <c r="J22" s="465"/>
      <c r="K22" s="465"/>
      <c r="L22" s="465"/>
      <c r="M22" s="465"/>
      <c r="N22" s="465"/>
      <c r="O22" s="465"/>
      <c r="P22" s="465"/>
      <c r="Q22" s="465"/>
      <c r="R22" s="465"/>
      <c r="S22" s="465"/>
    </row>
    <row r="24" spans="1:19" ht="18.600000000000001">
      <c r="A24" s="37" t="s">
        <v>47</v>
      </c>
      <c r="B24" s="138">
        <v>1500</v>
      </c>
      <c r="C24" s="35" t="s">
        <v>36</v>
      </c>
      <c r="D24" s="31"/>
      <c r="E24" s="31"/>
    </row>
    <row r="25" spans="1:19" ht="18.600000000000001">
      <c r="A25" s="28" t="s">
        <v>46</v>
      </c>
      <c r="B25" s="123">
        <v>2000</v>
      </c>
      <c r="C25" s="30" t="s">
        <v>36</v>
      </c>
      <c r="D25" s="31"/>
      <c r="E25" s="31"/>
      <c r="F25" s="137">
        <v>1</v>
      </c>
      <c r="G25" s="136">
        <v>2</v>
      </c>
      <c r="H25" s="136">
        <v>3</v>
      </c>
      <c r="I25" s="136">
        <v>4</v>
      </c>
      <c r="J25" s="135">
        <v>5</v>
      </c>
    </row>
    <row r="26" spans="1:19" ht="18.600000000000001">
      <c r="A26" s="28" t="s">
        <v>45</v>
      </c>
      <c r="B26" s="129">
        <v>0.3</v>
      </c>
      <c r="C26" s="128" t="s">
        <v>41</v>
      </c>
      <c r="D26" s="116"/>
      <c r="E26" s="112" t="s">
        <v>44</v>
      </c>
      <c r="F26" s="134">
        <v>-1500</v>
      </c>
      <c r="G26" s="133"/>
      <c r="H26" s="133"/>
      <c r="I26" s="133"/>
      <c r="J26" s="132"/>
    </row>
    <row r="27" spans="1:19" ht="18.600000000000001">
      <c r="A27" s="28"/>
      <c r="B27" s="123"/>
      <c r="C27" s="30"/>
      <c r="D27" s="31"/>
      <c r="E27" s="28" t="s">
        <v>43</v>
      </c>
      <c r="F27" s="131"/>
      <c r="G27" s="48">
        <f>I32*0.3</f>
        <v>621.43311850455461</v>
      </c>
      <c r="H27" s="48">
        <f>0.7*$I$32/3</f>
        <v>483.33686994798694</v>
      </c>
      <c r="I27" s="48">
        <f>0.7*$I$32/3</f>
        <v>483.33686994798694</v>
      </c>
      <c r="J27" s="130">
        <f>0.7*$I$32/3</f>
        <v>483.33686994798694</v>
      </c>
    </row>
    <row r="28" spans="1:19" ht="18.600000000000001">
      <c r="A28" s="28" t="s">
        <v>42</v>
      </c>
      <c r="B28" s="129">
        <v>0.15</v>
      </c>
      <c r="C28" s="128" t="s">
        <v>41</v>
      </c>
      <c r="D28" s="116"/>
      <c r="E28" s="127" t="s">
        <v>7</v>
      </c>
      <c r="F28" s="126">
        <f>SUM(F26:F27)</f>
        <v>-1500</v>
      </c>
      <c r="G28" s="125">
        <f>SUM(G26:G27)</f>
        <v>621.43311850455461</v>
      </c>
      <c r="H28" s="125">
        <f>SUM(H26:H27)</f>
        <v>483.33686994798694</v>
      </c>
      <c r="I28" s="125">
        <f>SUM(I26:I27)</f>
        <v>483.33686994798694</v>
      </c>
      <c r="J28" s="124">
        <f>SUM(J26:J27)</f>
        <v>483.33686994798694</v>
      </c>
    </row>
    <row r="29" spans="1:19" ht="18.600000000000001">
      <c r="A29" s="28" t="s">
        <v>40</v>
      </c>
      <c r="B29" s="123">
        <v>500</v>
      </c>
      <c r="C29" s="30" t="s">
        <v>36</v>
      </c>
      <c r="D29" s="116"/>
    </row>
    <row r="30" spans="1:19" ht="18.600000000000001">
      <c r="A30" s="28"/>
      <c r="B30" s="123"/>
      <c r="C30" s="30"/>
      <c r="D30" s="31"/>
      <c r="E30" s="31"/>
    </row>
    <row r="31" spans="1:19" ht="18.600000000000001">
      <c r="A31" s="28" t="s">
        <v>39</v>
      </c>
      <c r="B31" s="123">
        <v>3</v>
      </c>
      <c r="C31" s="30" t="s">
        <v>14</v>
      </c>
    </row>
    <row r="32" spans="1:19" ht="18.600000000000001">
      <c r="A32" s="122" t="s">
        <v>38</v>
      </c>
      <c r="B32" s="121">
        <v>500</v>
      </c>
      <c r="C32" s="120" t="s">
        <v>36</v>
      </c>
      <c r="D32" s="31"/>
      <c r="E32" s="119">
        <f>NPV(B28,F28:J28)</f>
        <v>-1.9771623951585398E-13</v>
      </c>
      <c r="F32" s="1" t="s">
        <v>3</v>
      </c>
      <c r="G32" s="461" t="s">
        <v>37</v>
      </c>
      <c r="H32" s="462"/>
      <c r="I32" s="118">
        <v>2071.4437283485154</v>
      </c>
      <c r="J32" s="117" t="s">
        <v>36</v>
      </c>
    </row>
    <row r="34" spans="2:2">
      <c r="B34" s="3"/>
    </row>
    <row r="36" spans="2:2">
      <c r="B36" s="3"/>
    </row>
  </sheetData>
  <mergeCells count="5">
    <mergeCell ref="G32:H32"/>
    <mergeCell ref="G17:H17"/>
    <mergeCell ref="G15:H15"/>
    <mergeCell ref="A1:T3"/>
    <mergeCell ref="A22:S22"/>
  </mergeCells>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8"/>
  <sheetViews>
    <sheetView rightToLeft="1" zoomScaleNormal="100" workbookViewId="0">
      <selection activeCell="A5" sqref="A5"/>
    </sheetView>
  </sheetViews>
  <sheetFormatPr defaultColWidth="8.88671875" defaultRowHeight="16.8"/>
  <cols>
    <col min="1" max="1" width="13.44140625" style="161" bestFit="1" customWidth="1"/>
    <col min="2" max="2" width="8.88671875" style="161"/>
    <col min="3" max="3" width="5.5546875" style="161" customWidth="1"/>
    <col min="4" max="4" width="6.88671875" style="161" customWidth="1"/>
    <col min="5" max="5" width="14.88671875" style="161" customWidth="1"/>
    <col min="6" max="9" width="8.109375" style="161" customWidth="1"/>
    <col min="10" max="10" width="10.44140625" style="161" customWidth="1"/>
    <col min="11" max="12" width="7.6640625" style="161" customWidth="1"/>
    <col min="13" max="16384" width="8.88671875" style="161"/>
  </cols>
  <sheetData>
    <row r="1" spans="1:25" ht="18" customHeight="1">
      <c r="A1" s="466" t="s">
        <v>114</v>
      </c>
      <c r="B1" s="466"/>
      <c r="C1" s="466"/>
      <c r="D1" s="466"/>
      <c r="E1" s="466"/>
      <c r="F1" s="466"/>
      <c r="G1" s="466"/>
      <c r="H1" s="466"/>
      <c r="I1" s="466"/>
      <c r="J1" s="466"/>
      <c r="K1" s="466"/>
      <c r="L1" s="466"/>
      <c r="M1" s="466"/>
      <c r="N1" s="466"/>
      <c r="O1" s="466"/>
      <c r="P1" s="466"/>
      <c r="Q1" s="466"/>
      <c r="R1" s="466"/>
      <c r="S1" s="466"/>
      <c r="T1" s="466"/>
      <c r="U1" s="466"/>
      <c r="V1" s="466"/>
      <c r="W1" s="466"/>
      <c r="X1" s="466"/>
      <c r="Y1" s="466"/>
    </row>
    <row r="2" spans="1:25" ht="18" customHeight="1">
      <c r="A2" s="466"/>
      <c r="B2" s="466"/>
      <c r="C2" s="466"/>
      <c r="D2" s="466"/>
      <c r="E2" s="466"/>
      <c r="F2" s="466"/>
      <c r="G2" s="466"/>
      <c r="H2" s="466"/>
      <c r="I2" s="466"/>
      <c r="J2" s="466"/>
      <c r="K2" s="466"/>
      <c r="L2" s="466"/>
      <c r="M2" s="466"/>
      <c r="N2" s="466"/>
      <c r="O2" s="466"/>
      <c r="P2" s="466"/>
      <c r="Q2" s="466"/>
      <c r="R2" s="466"/>
      <c r="S2" s="466"/>
      <c r="T2" s="466"/>
      <c r="U2" s="466"/>
      <c r="V2" s="466"/>
      <c r="W2" s="466"/>
      <c r="X2" s="466"/>
      <c r="Y2" s="466"/>
    </row>
    <row r="3" spans="1:25" ht="18" customHeight="1">
      <c r="A3" s="466"/>
      <c r="B3" s="466"/>
      <c r="C3" s="466"/>
      <c r="D3" s="466"/>
      <c r="E3" s="466"/>
      <c r="F3" s="466"/>
      <c r="G3" s="466"/>
      <c r="H3" s="466"/>
      <c r="I3" s="466"/>
      <c r="J3" s="466"/>
      <c r="K3" s="466"/>
      <c r="L3" s="466"/>
      <c r="M3" s="466"/>
      <c r="N3" s="466"/>
      <c r="O3" s="466"/>
      <c r="P3" s="466"/>
      <c r="Q3" s="466"/>
      <c r="R3" s="466"/>
      <c r="S3" s="466"/>
      <c r="T3" s="466"/>
      <c r="U3" s="466"/>
      <c r="V3" s="466"/>
      <c r="W3" s="466"/>
      <c r="X3" s="466"/>
      <c r="Y3" s="466"/>
    </row>
    <row r="4" spans="1:25" ht="39.75" customHeight="1">
      <c r="A4" s="466"/>
      <c r="B4" s="466"/>
      <c r="C4" s="466"/>
      <c r="D4" s="466"/>
      <c r="E4" s="466"/>
      <c r="F4" s="466"/>
      <c r="G4" s="466"/>
      <c r="H4" s="466"/>
      <c r="I4" s="466"/>
      <c r="J4" s="466"/>
      <c r="K4" s="466"/>
      <c r="L4" s="466"/>
      <c r="M4" s="466"/>
      <c r="N4" s="466"/>
      <c r="O4" s="466"/>
      <c r="P4" s="466"/>
      <c r="Q4" s="466"/>
      <c r="R4" s="466"/>
      <c r="S4" s="466"/>
      <c r="T4" s="466"/>
      <c r="U4" s="466"/>
      <c r="V4" s="466"/>
      <c r="W4" s="466"/>
      <c r="X4" s="466"/>
      <c r="Y4" s="466"/>
    </row>
    <row r="5" spans="1:25" s="188" customFormat="1" ht="10.5" customHeight="1"/>
    <row r="6" spans="1:25" ht="18.600000000000001">
      <c r="A6" s="184"/>
      <c r="B6" s="187"/>
      <c r="C6" s="184"/>
      <c r="D6" s="184"/>
    </row>
    <row r="7" spans="1:25" ht="21.6">
      <c r="A7" s="186" t="s">
        <v>53</v>
      </c>
      <c r="B7" s="187">
        <v>-3</v>
      </c>
      <c r="C7" s="186" t="s">
        <v>52</v>
      </c>
      <c r="D7" s="184"/>
    </row>
    <row r="8" spans="1:25" ht="18.600000000000001">
      <c r="A8" s="184"/>
      <c r="B8" s="185"/>
      <c r="C8" s="184"/>
    </row>
    <row r="9" spans="1:25" ht="25.5" customHeight="1">
      <c r="B9" s="178"/>
      <c r="C9" s="178"/>
      <c r="D9" s="178"/>
      <c r="E9" s="178"/>
      <c r="F9" s="183">
        <v>1</v>
      </c>
      <c r="G9" s="182">
        <v>2</v>
      </c>
      <c r="H9" s="182">
        <v>3</v>
      </c>
      <c r="I9" s="181">
        <v>4</v>
      </c>
      <c r="J9" s="181">
        <v>5</v>
      </c>
      <c r="K9" s="181">
        <v>6</v>
      </c>
      <c r="L9" s="180">
        <v>7</v>
      </c>
      <c r="M9" s="180">
        <v>8</v>
      </c>
      <c r="N9" s="180">
        <v>9</v>
      </c>
      <c r="O9" s="180">
        <v>10</v>
      </c>
      <c r="P9" s="180">
        <v>11</v>
      </c>
      <c r="Q9" s="180">
        <v>12</v>
      </c>
      <c r="R9" s="180">
        <v>13</v>
      </c>
      <c r="S9" s="180">
        <v>14</v>
      </c>
      <c r="T9" s="180">
        <v>15</v>
      </c>
      <c r="U9" s="180">
        <v>16</v>
      </c>
      <c r="V9" s="180">
        <v>17</v>
      </c>
      <c r="W9" s="180">
        <v>18</v>
      </c>
      <c r="X9" s="180">
        <v>19</v>
      </c>
      <c r="Y9" s="179">
        <v>20</v>
      </c>
    </row>
    <row r="10" spans="1:25" ht="25.5" customHeight="1">
      <c r="B10" s="178"/>
      <c r="C10" s="178"/>
      <c r="D10" s="178"/>
      <c r="E10" s="178"/>
      <c r="F10" s="177">
        <f>-40%*$L$15/3</f>
        <v>-0.81165246590755757</v>
      </c>
      <c r="G10" s="176">
        <f>-40%*$L$15/3</f>
        <v>-0.81165246590755757</v>
      </c>
      <c r="H10" s="176">
        <f>-40%*$L$15/3</f>
        <v>-0.81165246590755757</v>
      </c>
      <c r="I10" s="176">
        <f>-$L$15*60%/3</f>
        <v>-1.2174786988613362</v>
      </c>
      <c r="J10" s="176">
        <f>-$L$15*60%/3</f>
        <v>-1.2174786988613362</v>
      </c>
      <c r="K10" s="176">
        <f>-$L$15*60%/3</f>
        <v>-1.2174786988613362</v>
      </c>
      <c r="L10" s="175"/>
      <c r="M10" s="175"/>
      <c r="N10" s="175"/>
      <c r="O10" s="175"/>
      <c r="P10" s="175"/>
      <c r="Q10" s="175"/>
      <c r="R10" s="175"/>
      <c r="S10" s="175"/>
      <c r="T10" s="175"/>
      <c r="U10" s="175"/>
      <c r="V10" s="175"/>
      <c r="W10" s="175"/>
      <c r="X10" s="175"/>
      <c r="Y10" s="174"/>
    </row>
    <row r="11" spans="1:25" ht="28.5" customHeight="1">
      <c r="F11" s="173">
        <f>$B$7/3</f>
        <v>-1</v>
      </c>
      <c r="G11" s="172">
        <f>$B$7/3</f>
        <v>-1</v>
      </c>
      <c r="H11" s="172">
        <f>$B$7/3</f>
        <v>-1</v>
      </c>
      <c r="I11" s="172">
        <v>1.5</v>
      </c>
      <c r="J11" s="172">
        <v>1.5</v>
      </c>
      <c r="K11" s="172">
        <v>1.5</v>
      </c>
      <c r="L11" s="172">
        <v>1.5</v>
      </c>
      <c r="M11" s="172">
        <v>1.5</v>
      </c>
      <c r="N11" s="172">
        <v>1.5</v>
      </c>
      <c r="O11" s="172">
        <v>1.5</v>
      </c>
      <c r="P11" s="172">
        <v>1.5</v>
      </c>
      <c r="Q11" s="172">
        <v>1.5</v>
      </c>
      <c r="R11" s="172">
        <v>1.5</v>
      </c>
      <c r="S11" s="172">
        <v>1.5</v>
      </c>
      <c r="T11" s="172">
        <v>1.5</v>
      </c>
      <c r="U11" s="172">
        <v>1.5</v>
      </c>
      <c r="V11" s="172">
        <v>1.5</v>
      </c>
      <c r="W11" s="172">
        <v>1.5</v>
      </c>
      <c r="X11" s="172">
        <v>1.5</v>
      </c>
      <c r="Y11" s="171">
        <v>1.5</v>
      </c>
    </row>
    <row r="12" spans="1:25" ht="33" customHeight="1">
      <c r="E12" s="170" t="s">
        <v>7</v>
      </c>
      <c r="F12" s="169">
        <f t="shared" ref="F12:Y12" si="0">F11+F10</f>
        <v>-1.8116524659075575</v>
      </c>
      <c r="G12" s="168">
        <f t="shared" si="0"/>
        <v>-1.8116524659075575</v>
      </c>
      <c r="H12" s="168">
        <f t="shared" si="0"/>
        <v>-1.8116524659075575</v>
      </c>
      <c r="I12" s="168">
        <f t="shared" si="0"/>
        <v>0.28252130113866381</v>
      </c>
      <c r="J12" s="168">
        <f t="shared" si="0"/>
        <v>0.28252130113866381</v>
      </c>
      <c r="K12" s="168">
        <f t="shared" si="0"/>
        <v>0.28252130113866381</v>
      </c>
      <c r="L12" s="167">
        <f t="shared" si="0"/>
        <v>1.5</v>
      </c>
      <c r="M12" s="167">
        <f t="shared" si="0"/>
        <v>1.5</v>
      </c>
      <c r="N12" s="167">
        <f t="shared" si="0"/>
        <v>1.5</v>
      </c>
      <c r="O12" s="167">
        <f t="shared" si="0"/>
        <v>1.5</v>
      </c>
      <c r="P12" s="167">
        <f t="shared" si="0"/>
        <v>1.5</v>
      </c>
      <c r="Q12" s="167">
        <f t="shared" si="0"/>
        <v>1.5</v>
      </c>
      <c r="R12" s="167">
        <f t="shared" si="0"/>
        <v>1.5</v>
      </c>
      <c r="S12" s="167">
        <f t="shared" si="0"/>
        <v>1.5</v>
      </c>
      <c r="T12" s="167">
        <f t="shared" si="0"/>
        <v>1.5</v>
      </c>
      <c r="U12" s="167">
        <f t="shared" si="0"/>
        <v>1.5</v>
      </c>
      <c r="V12" s="167">
        <f t="shared" si="0"/>
        <v>1.5</v>
      </c>
      <c r="W12" s="167">
        <f t="shared" si="0"/>
        <v>1.5</v>
      </c>
      <c r="X12" s="167">
        <f t="shared" si="0"/>
        <v>1.5</v>
      </c>
      <c r="Y12" s="166">
        <f t="shared" si="0"/>
        <v>1.5</v>
      </c>
    </row>
    <row r="14" spans="1:25" ht="24.75" customHeight="1">
      <c r="H14" s="165"/>
    </row>
    <row r="15" spans="1:25" ht="24" customHeight="1">
      <c r="E15" s="164">
        <f>NPV(15%,F12:Y12)</f>
        <v>-7.1199085274874175E-16</v>
      </c>
      <c r="F15" s="163" t="s">
        <v>51</v>
      </c>
      <c r="J15" s="467" t="s">
        <v>37</v>
      </c>
      <c r="K15" s="468"/>
      <c r="L15" s="162">
        <v>6.0873934943066814</v>
      </c>
    </row>
    <row r="18" ht="23.25" customHeight="1"/>
  </sheetData>
  <mergeCells count="2">
    <mergeCell ref="A1:Y4"/>
    <mergeCell ref="J15:K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
  <sheetViews>
    <sheetView zoomScaleNormal="100" workbookViewId="0">
      <selection sqref="A1:T3"/>
    </sheetView>
  </sheetViews>
  <sheetFormatPr defaultColWidth="9.109375" defaultRowHeight="15"/>
  <cols>
    <col min="1" max="1" width="27.33203125" style="217" customWidth="1"/>
    <col min="2" max="2" width="10.44140625" style="218" bestFit="1" customWidth="1"/>
    <col min="3" max="3" width="10.33203125" style="217" customWidth="1"/>
    <col min="4" max="4" width="9.109375" style="217"/>
    <col min="5" max="5" width="8.109375" style="217" customWidth="1"/>
    <col min="6" max="7" width="8.44140625" style="217" customWidth="1"/>
    <col min="8" max="9" width="8.109375" style="217" customWidth="1"/>
    <col min="10" max="10" width="11.33203125" style="217" customWidth="1"/>
    <col min="11" max="21" width="8.109375" style="217" customWidth="1"/>
    <col min="22" max="23" width="9.5546875" style="217" bestFit="1" customWidth="1"/>
    <col min="24" max="16384" width="9.109375" style="217"/>
  </cols>
  <sheetData>
    <row r="1" spans="1:21" ht="39" customHeight="1">
      <c r="A1" s="454" t="s">
        <v>104</v>
      </c>
      <c r="B1" s="454"/>
      <c r="C1" s="454"/>
      <c r="D1" s="454"/>
      <c r="E1" s="454"/>
      <c r="F1" s="454"/>
      <c r="G1" s="454"/>
      <c r="H1" s="454"/>
      <c r="I1" s="454"/>
      <c r="J1" s="454"/>
      <c r="K1" s="454"/>
      <c r="L1" s="454"/>
      <c r="M1" s="454"/>
      <c r="N1" s="454"/>
      <c r="O1" s="454"/>
      <c r="P1" s="454"/>
      <c r="Q1" s="454"/>
      <c r="R1" s="454"/>
      <c r="S1" s="454"/>
      <c r="T1" s="454"/>
      <c r="U1" s="260"/>
    </row>
    <row r="2" spans="1:21" ht="39" customHeight="1">
      <c r="A2" s="454"/>
      <c r="B2" s="454"/>
      <c r="C2" s="454"/>
      <c r="D2" s="454"/>
      <c r="E2" s="454"/>
      <c r="F2" s="454"/>
      <c r="G2" s="454"/>
      <c r="H2" s="454"/>
      <c r="I2" s="454"/>
      <c r="J2" s="454"/>
      <c r="K2" s="454"/>
      <c r="L2" s="454"/>
      <c r="M2" s="454"/>
      <c r="N2" s="454"/>
      <c r="O2" s="454"/>
      <c r="P2" s="454"/>
      <c r="Q2" s="454"/>
      <c r="R2" s="454"/>
      <c r="S2" s="454"/>
      <c r="T2" s="454"/>
      <c r="U2" s="260"/>
    </row>
    <row r="3" spans="1:21" ht="27.75" customHeight="1">
      <c r="A3" s="455"/>
      <c r="B3" s="455"/>
      <c r="C3" s="455"/>
      <c r="D3" s="455"/>
      <c r="E3" s="455"/>
      <c r="F3" s="455"/>
      <c r="G3" s="455"/>
      <c r="H3" s="455"/>
      <c r="I3" s="455"/>
      <c r="J3" s="455"/>
      <c r="K3" s="455"/>
      <c r="L3" s="455"/>
      <c r="M3" s="455"/>
      <c r="N3" s="455"/>
      <c r="O3" s="455"/>
      <c r="P3" s="455"/>
      <c r="Q3" s="455"/>
      <c r="R3" s="455"/>
      <c r="S3" s="455"/>
      <c r="T3" s="455"/>
      <c r="U3" s="259"/>
    </row>
    <row r="4" spans="1:21" ht="27" customHeight="1">
      <c r="A4" s="256" t="s">
        <v>4</v>
      </c>
      <c r="B4" s="257">
        <v>500</v>
      </c>
      <c r="C4" s="256" t="s">
        <v>5</v>
      </c>
    </row>
    <row r="5" spans="1:21" ht="27" customHeight="1">
      <c r="A5" s="256" t="s">
        <v>0</v>
      </c>
      <c r="B5" s="257">
        <v>300</v>
      </c>
      <c r="C5" s="256" t="s">
        <v>1</v>
      </c>
    </row>
    <row r="6" spans="1:21" ht="27" customHeight="1">
      <c r="A6" s="256" t="s">
        <v>64</v>
      </c>
      <c r="B6" s="258">
        <v>0.03</v>
      </c>
      <c r="C6" s="256"/>
      <c r="F6" s="453" t="s">
        <v>67</v>
      </c>
      <c r="G6" s="453"/>
      <c r="H6" s="244">
        <v>0.2</v>
      </c>
    </row>
    <row r="7" spans="1:21" ht="27" customHeight="1">
      <c r="A7" s="256" t="s">
        <v>66</v>
      </c>
      <c r="B7" s="257">
        <v>4</v>
      </c>
      <c r="C7" s="256" t="s">
        <v>65</v>
      </c>
      <c r="L7" s="243"/>
    </row>
    <row r="10" spans="1:21" s="219" customFormat="1">
      <c r="B10" s="242">
        <v>0.2</v>
      </c>
      <c r="C10" s="242">
        <v>0.5</v>
      </c>
      <c r="D10" s="242">
        <v>0.3</v>
      </c>
    </row>
    <row r="11" spans="1:21" s="219" customFormat="1" ht="22.5" customHeight="1">
      <c r="B11" s="255">
        <v>1</v>
      </c>
      <c r="C11" s="254">
        <v>2</v>
      </c>
      <c r="D11" s="253">
        <v>3</v>
      </c>
      <c r="E11" s="237">
        <v>4</v>
      </c>
      <c r="F11" s="237">
        <v>5</v>
      </c>
      <c r="G11" s="237">
        <v>6</v>
      </c>
      <c r="H11" s="237">
        <v>7</v>
      </c>
      <c r="I11" s="237">
        <v>8</v>
      </c>
      <c r="J11" s="237">
        <v>9</v>
      </c>
      <c r="K11" s="237">
        <v>10</v>
      </c>
      <c r="L11" s="237">
        <v>11</v>
      </c>
      <c r="M11" s="237">
        <v>12</v>
      </c>
      <c r="N11" s="237">
        <v>13</v>
      </c>
      <c r="O11" s="237">
        <v>14</v>
      </c>
      <c r="P11" s="237">
        <v>15</v>
      </c>
      <c r="Q11" s="237">
        <v>16</v>
      </c>
      <c r="R11" s="237">
        <v>17</v>
      </c>
      <c r="S11" s="237">
        <v>18</v>
      </c>
      <c r="T11" s="237">
        <v>19</v>
      </c>
      <c r="U11" s="236">
        <v>20</v>
      </c>
    </row>
    <row r="12" spans="1:21" s="219" customFormat="1" ht="20.25" customHeight="1">
      <c r="A12" s="238" t="s">
        <v>0</v>
      </c>
      <c r="B12" s="237">
        <f>$B$5*B10</f>
        <v>60</v>
      </c>
      <c r="C12" s="237">
        <f>$B$5*C10</f>
        <v>150</v>
      </c>
      <c r="D12" s="237">
        <f>$B$5*D10</f>
        <v>90</v>
      </c>
      <c r="E12" s="237"/>
      <c r="F12" s="237"/>
      <c r="G12" s="237"/>
      <c r="H12" s="237"/>
      <c r="I12" s="237"/>
      <c r="J12" s="237"/>
      <c r="K12" s="237"/>
      <c r="L12" s="237"/>
      <c r="M12" s="237"/>
      <c r="N12" s="237"/>
      <c r="O12" s="237"/>
      <c r="P12" s="237"/>
      <c r="Q12" s="237"/>
      <c r="R12" s="237"/>
      <c r="S12" s="237"/>
      <c r="T12" s="237"/>
      <c r="U12" s="236"/>
    </row>
    <row r="13" spans="1:21" s="219" customFormat="1" ht="20.25" customHeight="1">
      <c r="A13" s="235" t="s">
        <v>64</v>
      </c>
      <c r="B13" s="227"/>
      <c r="C13" s="227"/>
      <c r="D13" s="227"/>
      <c r="E13" s="227">
        <f t="shared" ref="E13:U13" si="0">$B$6*$B$5</f>
        <v>9</v>
      </c>
      <c r="F13" s="227">
        <f t="shared" si="0"/>
        <v>9</v>
      </c>
      <c r="G13" s="227">
        <f t="shared" si="0"/>
        <v>9</v>
      </c>
      <c r="H13" s="227">
        <f t="shared" si="0"/>
        <v>9</v>
      </c>
      <c r="I13" s="227">
        <f t="shared" si="0"/>
        <v>9</v>
      </c>
      <c r="J13" s="227">
        <f t="shared" si="0"/>
        <v>9</v>
      </c>
      <c r="K13" s="227">
        <f t="shared" si="0"/>
        <v>9</v>
      </c>
      <c r="L13" s="227">
        <f t="shared" si="0"/>
        <v>9</v>
      </c>
      <c r="M13" s="227">
        <f t="shared" si="0"/>
        <v>9</v>
      </c>
      <c r="N13" s="227">
        <f t="shared" si="0"/>
        <v>9</v>
      </c>
      <c r="O13" s="227">
        <f t="shared" si="0"/>
        <v>9</v>
      </c>
      <c r="P13" s="227">
        <f t="shared" si="0"/>
        <v>9</v>
      </c>
      <c r="Q13" s="227">
        <f t="shared" si="0"/>
        <v>9</v>
      </c>
      <c r="R13" s="227">
        <f t="shared" si="0"/>
        <v>9</v>
      </c>
      <c r="S13" s="227">
        <f t="shared" si="0"/>
        <v>9</v>
      </c>
      <c r="T13" s="227">
        <f t="shared" si="0"/>
        <v>9</v>
      </c>
      <c r="U13" s="234">
        <f t="shared" si="0"/>
        <v>9</v>
      </c>
    </row>
    <row r="14" spans="1:21" s="219" customFormat="1" ht="20.25" customHeight="1">
      <c r="A14" s="233" t="s">
        <v>63</v>
      </c>
      <c r="B14" s="232"/>
      <c r="C14" s="232"/>
      <c r="D14" s="232"/>
      <c r="E14" s="252">
        <f>$B$4*1000*$B$21*$B$7/100/10^6</f>
        <v>83.644468343115008</v>
      </c>
      <c r="F14" s="252">
        <f t="shared" ref="F14:U14" si="1">$B$4*1000*$B$21*$B$7/100/10^6</f>
        <v>83.644468343115008</v>
      </c>
      <c r="G14" s="252">
        <f t="shared" si="1"/>
        <v>83.644468343115008</v>
      </c>
      <c r="H14" s="252">
        <f t="shared" si="1"/>
        <v>83.644468343115008</v>
      </c>
      <c r="I14" s="252">
        <f t="shared" si="1"/>
        <v>83.644468343115008</v>
      </c>
      <c r="J14" s="252">
        <f t="shared" si="1"/>
        <v>83.644468343115008</v>
      </c>
      <c r="K14" s="252">
        <f t="shared" si="1"/>
        <v>83.644468343115008</v>
      </c>
      <c r="L14" s="252">
        <f t="shared" si="1"/>
        <v>83.644468343115008</v>
      </c>
      <c r="M14" s="252">
        <f t="shared" si="1"/>
        <v>83.644468343115008</v>
      </c>
      <c r="N14" s="252">
        <f t="shared" si="1"/>
        <v>83.644468343115008</v>
      </c>
      <c r="O14" s="252">
        <f t="shared" si="1"/>
        <v>83.644468343115008</v>
      </c>
      <c r="P14" s="252">
        <f t="shared" si="1"/>
        <v>83.644468343115008</v>
      </c>
      <c r="Q14" s="252">
        <f t="shared" si="1"/>
        <v>83.644468343115008</v>
      </c>
      <c r="R14" s="252">
        <f t="shared" si="1"/>
        <v>83.644468343115008</v>
      </c>
      <c r="S14" s="252">
        <f t="shared" si="1"/>
        <v>83.644468343115008</v>
      </c>
      <c r="T14" s="252">
        <f t="shared" si="1"/>
        <v>83.644468343115008</v>
      </c>
      <c r="U14" s="251">
        <f t="shared" si="1"/>
        <v>83.644468343115008</v>
      </c>
    </row>
    <row r="15" spans="1:21" s="219" customFormat="1" ht="20.25" customHeight="1">
      <c r="A15" s="230" t="s">
        <v>7</v>
      </c>
      <c r="B15" s="229">
        <f t="shared" ref="B15:U15" si="2">B14-B13-B12</f>
        <v>-60</v>
      </c>
      <c r="C15" s="229">
        <f t="shared" si="2"/>
        <v>-150</v>
      </c>
      <c r="D15" s="229">
        <f t="shared" si="2"/>
        <v>-90</v>
      </c>
      <c r="E15" s="250">
        <f t="shared" si="2"/>
        <v>74.644468343115008</v>
      </c>
      <c r="F15" s="250">
        <f t="shared" si="2"/>
        <v>74.644468343115008</v>
      </c>
      <c r="G15" s="250">
        <f t="shared" si="2"/>
        <v>74.644468343115008</v>
      </c>
      <c r="H15" s="250">
        <f t="shared" si="2"/>
        <v>74.644468343115008</v>
      </c>
      <c r="I15" s="250">
        <f t="shared" si="2"/>
        <v>74.644468343115008</v>
      </c>
      <c r="J15" s="250">
        <f t="shared" si="2"/>
        <v>74.644468343115008</v>
      </c>
      <c r="K15" s="250">
        <f t="shared" si="2"/>
        <v>74.644468343115008</v>
      </c>
      <c r="L15" s="250">
        <f t="shared" si="2"/>
        <v>74.644468343115008</v>
      </c>
      <c r="M15" s="250">
        <f t="shared" si="2"/>
        <v>74.644468343115008</v>
      </c>
      <c r="N15" s="250">
        <f t="shared" si="2"/>
        <v>74.644468343115008</v>
      </c>
      <c r="O15" s="250">
        <f t="shared" si="2"/>
        <v>74.644468343115008</v>
      </c>
      <c r="P15" s="250">
        <f t="shared" si="2"/>
        <v>74.644468343115008</v>
      </c>
      <c r="Q15" s="250">
        <f t="shared" si="2"/>
        <v>74.644468343115008</v>
      </c>
      <c r="R15" s="250">
        <f t="shared" si="2"/>
        <v>74.644468343115008</v>
      </c>
      <c r="S15" s="250">
        <f t="shared" si="2"/>
        <v>74.644468343115008</v>
      </c>
      <c r="T15" s="250">
        <f t="shared" si="2"/>
        <v>74.644468343115008</v>
      </c>
      <c r="U15" s="249">
        <f t="shared" si="2"/>
        <v>74.644468343115008</v>
      </c>
    </row>
    <row r="16" spans="1:21" s="219" customFormat="1" ht="20.25" customHeight="1">
      <c r="B16" s="227"/>
      <c r="C16" s="227"/>
      <c r="D16" s="227"/>
      <c r="E16" s="227"/>
      <c r="F16" s="227"/>
      <c r="G16" s="227"/>
      <c r="H16" s="227"/>
      <c r="I16" s="227"/>
      <c r="J16" s="227"/>
      <c r="K16" s="227"/>
      <c r="L16" s="227"/>
      <c r="M16" s="227"/>
      <c r="N16" s="227"/>
      <c r="O16" s="227"/>
      <c r="P16" s="227"/>
      <c r="Q16" s="227"/>
      <c r="R16" s="227"/>
      <c r="S16" s="227"/>
      <c r="T16" s="227"/>
      <c r="U16" s="227"/>
    </row>
    <row r="17" spans="1:21" s="219" customFormat="1" ht="25.5" customHeight="1">
      <c r="A17" s="2" t="s">
        <v>61</v>
      </c>
      <c r="B17" s="226">
        <f>B15/(1+$H$6)^(B11-1)</f>
        <v>-60</v>
      </c>
      <c r="C17" s="226">
        <f>C15/(1+$H$6)^(C11-1)</f>
        <v>-125</v>
      </c>
      <c r="D17" s="226">
        <f t="shared" ref="D17:U17" si="3">D15/(1+$H$6)^(D11-1)</f>
        <v>-62.5</v>
      </c>
      <c r="E17" s="226">
        <f t="shared" si="3"/>
        <v>43.197030291154519</v>
      </c>
      <c r="F17" s="226">
        <f t="shared" si="3"/>
        <v>35.997525242628768</v>
      </c>
      <c r="G17" s="226">
        <f t="shared" si="3"/>
        <v>29.99793770219064</v>
      </c>
      <c r="H17" s="226">
        <f t="shared" si="3"/>
        <v>24.998281418492201</v>
      </c>
      <c r="I17" s="226">
        <f t="shared" si="3"/>
        <v>20.831901182076834</v>
      </c>
      <c r="J17" s="226">
        <f t="shared" si="3"/>
        <v>17.359917651730697</v>
      </c>
      <c r="K17" s="226">
        <f t="shared" si="3"/>
        <v>14.466598043108913</v>
      </c>
      <c r="L17" s="226">
        <f t="shared" si="3"/>
        <v>12.055498369257428</v>
      </c>
      <c r="M17" s="226">
        <f t="shared" si="3"/>
        <v>10.046248641047857</v>
      </c>
      <c r="N17" s="226">
        <f t="shared" si="3"/>
        <v>8.3718738675398807</v>
      </c>
      <c r="O17" s="226">
        <f t="shared" si="3"/>
        <v>6.9765615562832339</v>
      </c>
      <c r="P17" s="226">
        <f t="shared" si="3"/>
        <v>5.8138012969026951</v>
      </c>
      <c r="Q17" s="226">
        <f t="shared" si="3"/>
        <v>4.8448344140855797</v>
      </c>
      <c r="R17" s="226">
        <f t="shared" si="3"/>
        <v>4.0373620117379829</v>
      </c>
      <c r="S17" s="226">
        <f t="shared" si="3"/>
        <v>3.3644683431149862</v>
      </c>
      <c r="T17" s="226">
        <f t="shared" si="3"/>
        <v>2.8037236192624886</v>
      </c>
      <c r="U17" s="225">
        <f t="shared" si="3"/>
        <v>2.3364363493854068</v>
      </c>
    </row>
    <row r="18" spans="1:21" s="219" customFormat="1" ht="29.4" customHeight="1">
      <c r="A18" s="2" t="s">
        <v>60</v>
      </c>
      <c r="B18" s="224">
        <f>H6</f>
        <v>0.2</v>
      </c>
      <c r="C18" s="223">
        <f>SUM(B17:U17)</f>
        <v>1.1590728377086634E-13</v>
      </c>
      <c r="D18" s="222" t="s">
        <v>1</v>
      </c>
    </row>
    <row r="19" spans="1:21" s="219" customFormat="1" ht="23.4" customHeight="1"/>
    <row r="20" spans="1:21">
      <c r="B20" s="217"/>
    </row>
    <row r="21" spans="1:21" ht="33.6" customHeight="1">
      <c r="A21" s="248" t="s">
        <v>69</v>
      </c>
      <c r="B21" s="247">
        <v>4182.2234171557502</v>
      </c>
      <c r="C21" s="246" t="s">
        <v>68</v>
      </c>
    </row>
    <row r="23" spans="1:21">
      <c r="B23" s="217"/>
    </row>
  </sheetData>
  <mergeCells count="2">
    <mergeCell ref="F6:G6"/>
    <mergeCell ref="A1:T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19"/>
  <sheetViews>
    <sheetView rightToLeft="1" workbookViewId="0">
      <selection activeCell="A18" sqref="A18"/>
    </sheetView>
  </sheetViews>
  <sheetFormatPr defaultColWidth="9.109375" defaultRowHeight="21.6"/>
  <cols>
    <col min="1" max="1" width="37" style="196" customWidth="1"/>
    <col min="2" max="2" width="15.44140625" style="261" customWidth="1"/>
    <col min="3" max="3" width="21.88671875" style="196" customWidth="1"/>
    <col min="4" max="4" width="23.6640625" style="196" customWidth="1"/>
    <col min="5" max="5" width="19.109375" style="196" bestFit="1" customWidth="1"/>
    <col min="6" max="8" width="9.109375" style="196"/>
    <col min="9" max="9" width="9.6640625" style="196" customWidth="1"/>
    <col min="10" max="11" width="9.109375" style="196"/>
    <col min="12" max="25" width="9.109375" style="196" customWidth="1"/>
    <col min="26" max="16384" width="9.109375" style="196"/>
  </cols>
  <sheetData>
    <row r="1" spans="1:28" s="295" customFormat="1" ht="98.25" customHeight="1">
      <c r="A1" s="472" t="s">
        <v>115</v>
      </c>
      <c r="B1" s="472"/>
      <c r="C1" s="472"/>
      <c r="D1" s="472"/>
      <c r="E1" s="472"/>
      <c r="F1" s="472"/>
      <c r="G1" s="472"/>
      <c r="H1" s="472"/>
      <c r="I1" s="472"/>
      <c r="J1" s="472"/>
      <c r="K1" s="472"/>
      <c r="L1" s="472"/>
      <c r="M1" s="472"/>
      <c r="N1" s="472"/>
      <c r="O1" s="472"/>
      <c r="P1" s="472"/>
      <c r="Q1" s="472"/>
      <c r="R1" s="472"/>
    </row>
    <row r="3" spans="1:28" s="262" customFormat="1" ht="29.4">
      <c r="A3" s="469" t="s">
        <v>89</v>
      </c>
      <c r="B3" s="470"/>
      <c r="C3" s="471"/>
      <c r="D3" s="294"/>
    </row>
    <row r="4" spans="1:28" s="262" customFormat="1" ht="19.5" customHeight="1">
      <c r="A4" s="281" t="s">
        <v>88</v>
      </c>
      <c r="B4" s="283">
        <v>1800</v>
      </c>
      <c r="C4" s="279" t="s">
        <v>87</v>
      </c>
    </row>
    <row r="5" spans="1:28" s="262" customFormat="1">
      <c r="A5" s="290" t="s">
        <v>86</v>
      </c>
      <c r="B5" s="267">
        <v>18</v>
      </c>
      <c r="C5" s="292" t="s">
        <v>41</v>
      </c>
      <c r="D5" s="291"/>
    </row>
    <row r="6" spans="1:28" s="262" customFormat="1">
      <c r="A6" s="290" t="s">
        <v>85</v>
      </c>
      <c r="B6" s="267">
        <v>100</v>
      </c>
      <c r="C6" s="289" t="s">
        <v>19</v>
      </c>
    </row>
    <row r="7" spans="1:28" s="262" customFormat="1" ht="19.5" customHeight="1">
      <c r="A7" s="290" t="s">
        <v>84</v>
      </c>
      <c r="B7" s="267">
        <v>3</v>
      </c>
      <c r="C7" s="289" t="s">
        <v>14</v>
      </c>
    </row>
    <row r="8" spans="1:28" s="262" customFormat="1">
      <c r="A8" s="290" t="s">
        <v>83</v>
      </c>
      <c r="B8" s="293">
        <v>0.15</v>
      </c>
      <c r="C8" s="292" t="s">
        <v>41</v>
      </c>
      <c r="D8" s="291"/>
    </row>
    <row r="9" spans="1:28" s="262" customFormat="1">
      <c r="A9" s="290" t="s">
        <v>82</v>
      </c>
      <c r="B9" s="267">
        <v>30</v>
      </c>
      <c r="C9" s="289" t="s">
        <v>81</v>
      </c>
    </row>
    <row r="10" spans="1:28" s="262" customFormat="1">
      <c r="A10" s="290" t="s">
        <v>80</v>
      </c>
      <c r="B10" s="267">
        <v>30</v>
      </c>
      <c r="C10" s="289" t="s">
        <v>79</v>
      </c>
    </row>
    <row r="11" spans="1:28" s="262" customFormat="1">
      <c r="A11" s="290" t="s">
        <v>78</v>
      </c>
      <c r="B11" s="267">
        <v>330</v>
      </c>
      <c r="C11" s="289" t="s">
        <v>77</v>
      </c>
      <c r="F11" s="23"/>
      <c r="G11" s="23"/>
      <c r="H11" s="23"/>
      <c r="I11" s="23"/>
      <c r="J11" s="23"/>
      <c r="K11" s="23"/>
      <c r="L11" s="23"/>
      <c r="M11" s="23"/>
      <c r="N11" s="23"/>
      <c r="O11" s="23"/>
      <c r="P11" s="23"/>
      <c r="Q11" s="23"/>
      <c r="R11" s="23"/>
      <c r="S11" s="23"/>
      <c r="T11" s="23"/>
      <c r="U11" s="23"/>
      <c r="V11" s="23"/>
      <c r="W11" s="23"/>
      <c r="X11" s="23"/>
      <c r="Y11" s="23"/>
      <c r="Z11" s="23"/>
      <c r="AA11" s="23"/>
      <c r="AB11" s="23"/>
    </row>
    <row r="12" spans="1:28" s="262" customFormat="1" ht="22.2" thickBot="1">
      <c r="A12" s="337" t="s">
        <v>73</v>
      </c>
      <c r="B12" s="338">
        <v>30</v>
      </c>
      <c r="C12" s="339" t="s">
        <v>76</v>
      </c>
      <c r="F12" s="23"/>
      <c r="G12" s="23"/>
      <c r="H12" s="23"/>
      <c r="I12" s="23"/>
      <c r="J12" s="23"/>
      <c r="K12" s="23"/>
      <c r="L12" s="23"/>
      <c r="M12" s="23"/>
      <c r="N12" s="23"/>
      <c r="O12" s="23"/>
      <c r="P12" s="23"/>
      <c r="Q12" s="23"/>
      <c r="R12" s="23"/>
      <c r="S12" s="23"/>
      <c r="T12" s="23"/>
      <c r="U12" s="23"/>
      <c r="V12" s="23"/>
      <c r="W12" s="23"/>
      <c r="X12" s="23"/>
      <c r="Y12" s="23"/>
      <c r="Z12" s="23"/>
      <c r="AA12" s="23"/>
      <c r="AB12" s="23"/>
    </row>
    <row r="13" spans="1:28" s="262" customFormat="1">
      <c r="B13" s="267"/>
      <c r="F13" s="288">
        <v>0.2</v>
      </c>
      <c r="G13" s="288">
        <v>0.5</v>
      </c>
      <c r="H13" s="288">
        <v>0.3</v>
      </c>
      <c r="I13" s="23"/>
      <c r="J13" s="23"/>
      <c r="K13" s="23"/>
      <c r="L13" s="23"/>
      <c r="M13" s="23"/>
      <c r="N13" s="23"/>
      <c r="O13" s="23"/>
      <c r="P13" s="23"/>
      <c r="Q13" s="23"/>
      <c r="R13" s="23"/>
      <c r="S13" s="23"/>
      <c r="T13" s="23"/>
      <c r="U13" s="23"/>
      <c r="V13" s="23"/>
      <c r="W13" s="23"/>
      <c r="X13" s="23"/>
      <c r="Y13" s="23"/>
      <c r="Z13" s="23"/>
      <c r="AA13" s="23"/>
      <c r="AB13" s="23"/>
    </row>
    <row r="14" spans="1:28" s="262" customFormat="1">
      <c r="F14" s="287">
        <v>1</v>
      </c>
      <c r="G14" s="286">
        <v>2</v>
      </c>
      <c r="H14" s="286">
        <v>3</v>
      </c>
      <c r="I14" s="285">
        <v>4</v>
      </c>
      <c r="J14" s="285">
        <v>5</v>
      </c>
      <c r="K14" s="285">
        <v>6</v>
      </c>
      <c r="L14" s="285">
        <v>7</v>
      </c>
      <c r="M14" s="285">
        <v>8</v>
      </c>
      <c r="N14" s="285">
        <v>9</v>
      </c>
      <c r="O14" s="285">
        <v>10</v>
      </c>
      <c r="P14" s="285">
        <v>11</v>
      </c>
      <c r="Q14" s="285">
        <v>12</v>
      </c>
      <c r="R14" s="285">
        <v>13</v>
      </c>
      <c r="S14" s="285">
        <v>14</v>
      </c>
      <c r="T14" s="285">
        <v>15</v>
      </c>
      <c r="U14" s="285">
        <v>16</v>
      </c>
      <c r="V14" s="285">
        <v>17</v>
      </c>
      <c r="W14" s="285">
        <v>18</v>
      </c>
      <c r="X14" s="285">
        <v>19</v>
      </c>
      <c r="Y14" s="285">
        <v>20</v>
      </c>
      <c r="Z14" s="285">
        <v>21</v>
      </c>
      <c r="AA14" s="285">
        <v>22</v>
      </c>
      <c r="AB14" s="284">
        <v>23</v>
      </c>
    </row>
    <row r="15" spans="1:28" s="262" customFormat="1" ht="23.4" customHeight="1">
      <c r="A15" s="281" t="s">
        <v>75</v>
      </c>
      <c r="B15" s="283">
        <f>B6*B5</f>
        <v>1800</v>
      </c>
      <c r="C15" s="279" t="s">
        <v>19</v>
      </c>
      <c r="E15" s="282" t="s">
        <v>74</v>
      </c>
      <c r="F15" s="281">
        <f>-($B$15+$B$16)*F13</f>
        <v>-684</v>
      </c>
      <c r="G15" s="280">
        <f>-($B$15+$B$16)*G13</f>
        <v>-1710</v>
      </c>
      <c r="H15" s="280">
        <f>-($B$15+$B$16)*H13</f>
        <v>-1026</v>
      </c>
      <c r="I15" s="280"/>
      <c r="J15" s="280"/>
      <c r="K15" s="280"/>
      <c r="L15" s="280"/>
      <c r="M15" s="280"/>
      <c r="N15" s="280"/>
      <c r="O15" s="280"/>
      <c r="P15" s="280"/>
      <c r="Q15" s="280"/>
      <c r="R15" s="280"/>
      <c r="S15" s="280"/>
      <c r="T15" s="280"/>
      <c r="U15" s="280"/>
      <c r="V15" s="280"/>
      <c r="W15" s="280"/>
      <c r="X15" s="280"/>
      <c r="Y15" s="280"/>
      <c r="Z15" s="280"/>
      <c r="AA15" s="280"/>
      <c r="AB15" s="279"/>
    </row>
    <row r="16" spans="1:28" s="262" customFormat="1" ht="23.4" customHeight="1">
      <c r="A16" s="276" t="s">
        <v>73</v>
      </c>
      <c r="B16" s="278">
        <f>B10*B12*B4*1000/10^6</f>
        <v>1620</v>
      </c>
      <c r="C16" s="273" t="s">
        <v>19</v>
      </c>
      <c r="E16" s="277" t="s">
        <v>72</v>
      </c>
      <c r="F16" s="276"/>
      <c r="G16" s="274"/>
      <c r="H16" s="274"/>
      <c r="I16" s="275">
        <f>$B$9*$I$19*$B$11</f>
        <v>622.60482870354781</v>
      </c>
      <c r="J16" s="274">
        <f t="shared" ref="J16:AB16" si="0">$B$9*$I$19*$B$11</f>
        <v>622.60482870354781</v>
      </c>
      <c r="K16" s="274">
        <f t="shared" si="0"/>
        <v>622.60482870354781</v>
      </c>
      <c r="L16" s="274">
        <f t="shared" si="0"/>
        <v>622.60482870354781</v>
      </c>
      <c r="M16" s="274">
        <f t="shared" si="0"/>
        <v>622.60482870354781</v>
      </c>
      <c r="N16" s="274">
        <f t="shared" si="0"/>
        <v>622.60482870354781</v>
      </c>
      <c r="O16" s="274">
        <f t="shared" si="0"/>
        <v>622.60482870354781</v>
      </c>
      <c r="P16" s="274">
        <f t="shared" si="0"/>
        <v>622.60482870354781</v>
      </c>
      <c r="Q16" s="274">
        <f t="shared" si="0"/>
        <v>622.60482870354781</v>
      </c>
      <c r="R16" s="274">
        <f t="shared" si="0"/>
        <v>622.60482870354781</v>
      </c>
      <c r="S16" s="274">
        <f t="shared" si="0"/>
        <v>622.60482870354781</v>
      </c>
      <c r="T16" s="274">
        <f t="shared" si="0"/>
        <v>622.60482870354781</v>
      </c>
      <c r="U16" s="274">
        <f t="shared" si="0"/>
        <v>622.60482870354781</v>
      </c>
      <c r="V16" s="274">
        <f t="shared" si="0"/>
        <v>622.60482870354781</v>
      </c>
      <c r="W16" s="274">
        <f t="shared" si="0"/>
        <v>622.60482870354781</v>
      </c>
      <c r="X16" s="274">
        <f t="shared" si="0"/>
        <v>622.60482870354781</v>
      </c>
      <c r="Y16" s="274">
        <f t="shared" si="0"/>
        <v>622.60482870354781</v>
      </c>
      <c r="Z16" s="274">
        <f t="shared" si="0"/>
        <v>622.60482870354781</v>
      </c>
      <c r="AA16" s="274">
        <f t="shared" si="0"/>
        <v>622.60482870354781</v>
      </c>
      <c r="AB16" s="273">
        <f t="shared" si="0"/>
        <v>622.60482870354781</v>
      </c>
    </row>
    <row r="17" spans="2:28" s="262" customFormat="1">
      <c r="B17" s="267"/>
      <c r="E17" s="272" t="s">
        <v>71</v>
      </c>
      <c r="F17" s="271">
        <f t="shared" ref="F17:AB17" si="1">F15+F16</f>
        <v>-684</v>
      </c>
      <c r="G17" s="269">
        <f t="shared" si="1"/>
        <v>-1710</v>
      </c>
      <c r="H17" s="269">
        <f t="shared" si="1"/>
        <v>-1026</v>
      </c>
      <c r="I17" s="270">
        <f t="shared" si="1"/>
        <v>622.60482870354781</v>
      </c>
      <c r="J17" s="269">
        <f t="shared" si="1"/>
        <v>622.60482870354781</v>
      </c>
      <c r="K17" s="269">
        <f t="shared" si="1"/>
        <v>622.60482870354781</v>
      </c>
      <c r="L17" s="269">
        <f t="shared" si="1"/>
        <v>622.60482870354781</v>
      </c>
      <c r="M17" s="269">
        <f t="shared" si="1"/>
        <v>622.60482870354781</v>
      </c>
      <c r="N17" s="269">
        <f t="shared" si="1"/>
        <v>622.60482870354781</v>
      </c>
      <c r="O17" s="269">
        <f t="shared" si="1"/>
        <v>622.60482870354781</v>
      </c>
      <c r="P17" s="269">
        <f t="shared" si="1"/>
        <v>622.60482870354781</v>
      </c>
      <c r="Q17" s="269">
        <f t="shared" si="1"/>
        <v>622.60482870354781</v>
      </c>
      <c r="R17" s="269">
        <f t="shared" si="1"/>
        <v>622.60482870354781</v>
      </c>
      <c r="S17" s="269">
        <f t="shared" si="1"/>
        <v>622.60482870354781</v>
      </c>
      <c r="T17" s="269">
        <f t="shared" si="1"/>
        <v>622.60482870354781</v>
      </c>
      <c r="U17" s="269">
        <f t="shared" si="1"/>
        <v>622.60482870354781</v>
      </c>
      <c r="V17" s="269">
        <f t="shared" si="1"/>
        <v>622.60482870354781</v>
      </c>
      <c r="W17" s="269">
        <f t="shared" si="1"/>
        <v>622.60482870354781</v>
      </c>
      <c r="X17" s="269">
        <f t="shared" si="1"/>
        <v>622.60482870354781</v>
      </c>
      <c r="Y17" s="269">
        <f t="shared" si="1"/>
        <v>622.60482870354781</v>
      </c>
      <c r="Z17" s="269">
        <f t="shared" si="1"/>
        <v>622.60482870354781</v>
      </c>
      <c r="AA17" s="269">
        <f t="shared" si="1"/>
        <v>622.60482870354781</v>
      </c>
      <c r="AB17" s="268">
        <f t="shared" si="1"/>
        <v>622.60482870354781</v>
      </c>
    </row>
    <row r="18" spans="2:28" s="262" customFormat="1">
      <c r="B18" s="267"/>
    </row>
    <row r="19" spans="2:28" s="262" customFormat="1" ht="27">
      <c r="B19" s="267"/>
      <c r="E19" s="266">
        <f>NPV(B8,F17:AB17)</f>
        <v>1.1382894626876806E-10</v>
      </c>
      <c r="F19" s="265" t="s">
        <v>3</v>
      </c>
      <c r="H19" s="264" t="s">
        <v>70</v>
      </c>
      <c r="I19" s="263">
        <v>6.2889376636722005E-2</v>
      </c>
    </row>
  </sheetData>
  <mergeCells count="2">
    <mergeCell ref="A3:C3"/>
    <mergeCell ref="A1:R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8"/>
  <sheetViews>
    <sheetView rightToLeft="1" topLeftCell="A11" zoomScale="90" zoomScaleNormal="90" workbookViewId="0">
      <selection activeCell="C17" sqref="C17"/>
    </sheetView>
  </sheetViews>
  <sheetFormatPr defaultColWidth="9.109375" defaultRowHeight="27"/>
  <cols>
    <col min="1" max="1" width="28.88671875" style="197" customWidth="1"/>
    <col min="2" max="2" width="9.109375" style="197"/>
    <col min="3" max="3" width="19.33203125" style="197" customWidth="1"/>
    <col min="4" max="4" width="9.109375" style="197"/>
    <col min="5" max="5" width="17.88671875" style="197" customWidth="1"/>
    <col min="6" max="6" width="17" style="197" customWidth="1"/>
    <col min="7" max="8" width="13.44140625" style="197" customWidth="1"/>
    <col min="9" max="9" width="11.6640625" style="197" bestFit="1" customWidth="1"/>
    <col min="10" max="28" width="9.88671875" style="197" bestFit="1" customWidth="1"/>
    <col min="29" max="16384" width="9.109375" style="197"/>
  </cols>
  <sheetData>
    <row r="1" spans="1:11" s="320" customFormat="1" ht="85.5" customHeight="1">
      <c r="A1" s="474" t="s">
        <v>116</v>
      </c>
      <c r="B1" s="474"/>
      <c r="C1" s="474"/>
      <c r="D1" s="474"/>
      <c r="E1" s="474"/>
      <c r="F1" s="474"/>
      <c r="G1" s="474"/>
      <c r="H1" s="474"/>
      <c r="I1" s="474"/>
      <c r="J1" s="474"/>
      <c r="K1" s="474"/>
    </row>
    <row r="3" spans="1:11">
      <c r="A3" s="319" t="s">
        <v>6</v>
      </c>
      <c r="B3" s="319">
        <v>3000</v>
      </c>
      <c r="C3" s="319" t="s">
        <v>19</v>
      </c>
      <c r="D3" s="319"/>
      <c r="E3" s="315"/>
      <c r="F3" s="315"/>
      <c r="G3" s="315"/>
    </row>
    <row r="4" spans="1:11">
      <c r="A4" s="319" t="s">
        <v>103</v>
      </c>
      <c r="B4" s="319">
        <v>56</v>
      </c>
      <c r="C4" s="319" t="s">
        <v>81</v>
      </c>
      <c r="D4" s="319"/>
      <c r="E4" s="315"/>
      <c r="F4" s="315"/>
      <c r="G4" s="315"/>
    </row>
    <row r="5" spans="1:11">
      <c r="A5" s="473" t="s">
        <v>102</v>
      </c>
      <c r="B5" s="473"/>
      <c r="C5" s="473"/>
      <c r="D5" s="473"/>
      <c r="E5" s="318" t="s">
        <v>101</v>
      </c>
      <c r="F5" s="318"/>
    </row>
    <row r="6" spans="1:11">
      <c r="A6" s="316" t="s">
        <v>96</v>
      </c>
      <c r="B6" s="316">
        <v>50</v>
      </c>
      <c r="C6" s="316" t="s">
        <v>81</v>
      </c>
      <c r="D6" s="316"/>
      <c r="E6" s="316">
        <v>0.34</v>
      </c>
      <c r="F6" s="316" t="s">
        <v>105</v>
      </c>
    </row>
    <row r="7" spans="1:11">
      <c r="A7" s="316" t="s">
        <v>95</v>
      </c>
      <c r="B7" s="316">
        <v>80</v>
      </c>
      <c r="C7" s="316" t="s">
        <v>100</v>
      </c>
      <c r="D7" s="316"/>
      <c r="E7" s="316">
        <v>45</v>
      </c>
      <c r="F7" s="316" t="s">
        <v>106</v>
      </c>
    </row>
    <row r="8" spans="1:11">
      <c r="A8" s="316" t="s">
        <v>94</v>
      </c>
      <c r="B8" s="316">
        <v>1</v>
      </c>
      <c r="C8" s="316" t="s">
        <v>99</v>
      </c>
      <c r="D8" s="316"/>
      <c r="E8" s="316">
        <v>220</v>
      </c>
      <c r="F8" s="316" t="s">
        <v>107</v>
      </c>
    </row>
    <row r="9" spans="1:11">
      <c r="A9" s="317" t="s">
        <v>93</v>
      </c>
      <c r="B9" s="317">
        <v>1</v>
      </c>
      <c r="C9" s="317" t="s">
        <v>99</v>
      </c>
      <c r="D9" s="317"/>
      <c r="E9" s="317">
        <v>400</v>
      </c>
      <c r="F9" s="317" t="s">
        <v>107</v>
      </c>
    </row>
    <row r="10" spans="1:11" ht="16.5" customHeight="1">
      <c r="A10" s="316"/>
      <c r="B10" s="316"/>
      <c r="C10" s="316"/>
      <c r="D10" s="316"/>
      <c r="E10" s="316"/>
      <c r="F10" s="316"/>
      <c r="G10" s="316"/>
    </row>
    <row r="11" spans="1:11" ht="30.75" customHeight="1">
      <c r="A11" s="340" t="s">
        <v>42</v>
      </c>
      <c r="B11" s="341">
        <v>0.15</v>
      </c>
      <c r="C11" s="342"/>
      <c r="D11" s="315"/>
      <c r="E11" s="315"/>
      <c r="F11" s="315"/>
      <c r="G11" s="315"/>
    </row>
    <row r="12" spans="1:11" ht="32.25" customHeight="1">
      <c r="A12" s="343" t="s">
        <v>98</v>
      </c>
      <c r="B12" s="315">
        <v>3</v>
      </c>
      <c r="C12" s="344" t="s">
        <v>14</v>
      </c>
      <c r="D12" s="315"/>
    </row>
    <row r="13" spans="1:11">
      <c r="A13" s="310" t="s">
        <v>97</v>
      </c>
      <c r="B13" s="309">
        <v>330</v>
      </c>
      <c r="C13" s="308" t="s">
        <v>77</v>
      </c>
    </row>
    <row r="16" spans="1:11">
      <c r="E16" s="315"/>
      <c r="F16" s="314">
        <v>0.2</v>
      </c>
      <c r="G16" s="314">
        <v>0.5</v>
      </c>
      <c r="H16" s="313">
        <v>0.3</v>
      </c>
    </row>
    <row r="17" spans="5:28">
      <c r="E17" s="301"/>
      <c r="F17" s="299">
        <v>1</v>
      </c>
      <c r="G17" s="299">
        <v>2</v>
      </c>
      <c r="H17" s="299">
        <v>3</v>
      </c>
      <c r="I17" s="299">
        <v>4</v>
      </c>
      <c r="J17" s="299">
        <v>5</v>
      </c>
      <c r="K17" s="299">
        <v>6</v>
      </c>
      <c r="L17" s="299">
        <v>7</v>
      </c>
      <c r="M17" s="299">
        <v>8</v>
      </c>
      <c r="N17" s="299">
        <v>9</v>
      </c>
      <c r="O17" s="299">
        <v>10</v>
      </c>
      <c r="P17" s="299">
        <v>11</v>
      </c>
      <c r="Q17" s="299">
        <v>12</v>
      </c>
      <c r="R17" s="299">
        <v>13</v>
      </c>
      <c r="S17" s="299">
        <v>14</v>
      </c>
      <c r="T17" s="299">
        <v>15</v>
      </c>
      <c r="U17" s="299">
        <v>16</v>
      </c>
      <c r="V17" s="299">
        <v>17</v>
      </c>
      <c r="W17" s="299">
        <v>18</v>
      </c>
      <c r="X17" s="299">
        <v>19</v>
      </c>
      <c r="Y17" s="299">
        <v>20</v>
      </c>
      <c r="Z17" s="299">
        <v>21</v>
      </c>
      <c r="AA17" s="299">
        <v>22</v>
      </c>
      <c r="AB17" s="298">
        <v>23</v>
      </c>
    </row>
    <row r="18" spans="5:28">
      <c r="E18" s="301" t="s">
        <v>74</v>
      </c>
      <c r="F18" s="299">
        <f>$B$3*F16</f>
        <v>600</v>
      </c>
      <c r="G18" s="299">
        <f>$B$3*G16</f>
        <v>1500</v>
      </c>
      <c r="H18" s="299">
        <f>$B$3*H16</f>
        <v>900</v>
      </c>
      <c r="I18" s="299"/>
      <c r="J18" s="299"/>
      <c r="K18" s="299"/>
      <c r="L18" s="299"/>
      <c r="M18" s="299"/>
      <c r="N18" s="299"/>
      <c r="O18" s="299"/>
      <c r="P18" s="299"/>
      <c r="Q18" s="299"/>
      <c r="R18" s="299"/>
      <c r="S18" s="299"/>
      <c r="T18" s="299"/>
      <c r="U18" s="299"/>
      <c r="V18" s="299"/>
      <c r="W18" s="299"/>
      <c r="X18" s="299"/>
      <c r="Y18" s="299"/>
      <c r="Z18" s="299"/>
      <c r="AA18" s="299"/>
      <c r="AB18" s="298"/>
    </row>
    <row r="19" spans="5:28">
      <c r="E19" s="312" t="s">
        <v>96</v>
      </c>
      <c r="I19" s="197">
        <f>$E$6*$B$6*$B$13</f>
        <v>5610</v>
      </c>
      <c r="J19" s="197">
        <f t="shared" ref="J19:AB19" si="0">$E$6*$B$6*$B$13</f>
        <v>5610</v>
      </c>
      <c r="K19" s="197">
        <f t="shared" si="0"/>
        <v>5610</v>
      </c>
      <c r="L19" s="197">
        <f t="shared" si="0"/>
        <v>5610</v>
      </c>
      <c r="M19" s="197">
        <f t="shared" si="0"/>
        <v>5610</v>
      </c>
      <c r="N19" s="197">
        <f t="shared" si="0"/>
        <v>5610</v>
      </c>
      <c r="O19" s="197">
        <f t="shared" si="0"/>
        <v>5610</v>
      </c>
      <c r="P19" s="197">
        <f t="shared" si="0"/>
        <v>5610</v>
      </c>
      <c r="Q19" s="197">
        <f t="shared" si="0"/>
        <v>5610</v>
      </c>
      <c r="R19" s="197">
        <f t="shared" si="0"/>
        <v>5610</v>
      </c>
      <c r="S19" s="197">
        <f t="shared" si="0"/>
        <v>5610</v>
      </c>
      <c r="T19" s="197">
        <f t="shared" si="0"/>
        <v>5610</v>
      </c>
      <c r="U19" s="197">
        <f t="shared" si="0"/>
        <v>5610</v>
      </c>
      <c r="V19" s="197">
        <f t="shared" si="0"/>
        <v>5610</v>
      </c>
      <c r="W19" s="197">
        <f t="shared" si="0"/>
        <v>5610</v>
      </c>
      <c r="X19" s="197">
        <f t="shared" si="0"/>
        <v>5610</v>
      </c>
      <c r="Y19" s="197">
        <f t="shared" si="0"/>
        <v>5610</v>
      </c>
      <c r="Z19" s="197">
        <f t="shared" si="0"/>
        <v>5610</v>
      </c>
      <c r="AA19" s="197">
        <f t="shared" si="0"/>
        <v>5610</v>
      </c>
      <c r="AB19" s="311">
        <f t="shared" si="0"/>
        <v>5610</v>
      </c>
    </row>
    <row r="20" spans="5:28">
      <c r="E20" s="312" t="s">
        <v>95</v>
      </c>
      <c r="I20" s="197">
        <f>$E$7*$B$7*$B$13/1000</f>
        <v>1188</v>
      </c>
      <c r="J20" s="197">
        <f t="shared" ref="J20:AB20" si="1">$E$7*$B$7*$B$13/1000</f>
        <v>1188</v>
      </c>
      <c r="K20" s="197">
        <f t="shared" si="1"/>
        <v>1188</v>
      </c>
      <c r="L20" s="197">
        <f t="shared" si="1"/>
        <v>1188</v>
      </c>
      <c r="M20" s="197">
        <f t="shared" si="1"/>
        <v>1188</v>
      </c>
      <c r="N20" s="197">
        <f t="shared" si="1"/>
        <v>1188</v>
      </c>
      <c r="O20" s="197">
        <f t="shared" si="1"/>
        <v>1188</v>
      </c>
      <c r="P20" s="197">
        <f t="shared" si="1"/>
        <v>1188</v>
      </c>
      <c r="Q20" s="197">
        <f t="shared" si="1"/>
        <v>1188</v>
      </c>
      <c r="R20" s="197">
        <f t="shared" si="1"/>
        <v>1188</v>
      </c>
      <c r="S20" s="197">
        <f t="shared" si="1"/>
        <v>1188</v>
      </c>
      <c r="T20" s="197">
        <f t="shared" si="1"/>
        <v>1188</v>
      </c>
      <c r="U20" s="197">
        <f t="shared" si="1"/>
        <v>1188</v>
      </c>
      <c r="V20" s="197">
        <f t="shared" si="1"/>
        <v>1188</v>
      </c>
      <c r="W20" s="197">
        <f t="shared" si="1"/>
        <v>1188</v>
      </c>
      <c r="X20" s="197">
        <f t="shared" si="1"/>
        <v>1188</v>
      </c>
      <c r="Y20" s="197">
        <f t="shared" si="1"/>
        <v>1188</v>
      </c>
      <c r="Z20" s="197">
        <f t="shared" si="1"/>
        <v>1188</v>
      </c>
      <c r="AA20" s="197">
        <f t="shared" si="1"/>
        <v>1188</v>
      </c>
      <c r="AB20" s="311">
        <f t="shared" si="1"/>
        <v>1188</v>
      </c>
    </row>
    <row r="21" spans="5:28">
      <c r="E21" s="312" t="s">
        <v>94</v>
      </c>
      <c r="I21" s="197">
        <f>$E$8*$B$8</f>
        <v>220</v>
      </c>
      <c r="J21" s="197">
        <f t="shared" ref="J21:AB21" si="2">$E$8*$B$8</f>
        <v>220</v>
      </c>
      <c r="K21" s="197">
        <f t="shared" si="2"/>
        <v>220</v>
      </c>
      <c r="L21" s="197">
        <f t="shared" si="2"/>
        <v>220</v>
      </c>
      <c r="M21" s="197">
        <f t="shared" si="2"/>
        <v>220</v>
      </c>
      <c r="N21" s="197">
        <f t="shared" si="2"/>
        <v>220</v>
      </c>
      <c r="O21" s="197">
        <f t="shared" si="2"/>
        <v>220</v>
      </c>
      <c r="P21" s="197">
        <f t="shared" si="2"/>
        <v>220</v>
      </c>
      <c r="Q21" s="197">
        <f t="shared" si="2"/>
        <v>220</v>
      </c>
      <c r="R21" s="197">
        <f t="shared" si="2"/>
        <v>220</v>
      </c>
      <c r="S21" s="197">
        <f t="shared" si="2"/>
        <v>220</v>
      </c>
      <c r="T21" s="197">
        <f t="shared" si="2"/>
        <v>220</v>
      </c>
      <c r="U21" s="197">
        <f t="shared" si="2"/>
        <v>220</v>
      </c>
      <c r="V21" s="197">
        <f t="shared" si="2"/>
        <v>220</v>
      </c>
      <c r="W21" s="197">
        <f t="shared" si="2"/>
        <v>220</v>
      </c>
      <c r="X21" s="197">
        <f t="shared" si="2"/>
        <v>220</v>
      </c>
      <c r="Y21" s="197">
        <f t="shared" si="2"/>
        <v>220</v>
      </c>
      <c r="Z21" s="197">
        <f t="shared" si="2"/>
        <v>220</v>
      </c>
      <c r="AA21" s="197">
        <f t="shared" si="2"/>
        <v>220</v>
      </c>
      <c r="AB21" s="311">
        <f t="shared" si="2"/>
        <v>220</v>
      </c>
    </row>
    <row r="22" spans="5:28">
      <c r="E22" s="310" t="s">
        <v>93</v>
      </c>
      <c r="F22" s="309"/>
      <c r="G22" s="309"/>
      <c r="H22" s="309"/>
      <c r="I22" s="309">
        <f>$E$9*$B$9</f>
        <v>400</v>
      </c>
      <c r="J22" s="309">
        <f t="shared" ref="J22:AB22" si="3">$E$9*$B$9</f>
        <v>400</v>
      </c>
      <c r="K22" s="309">
        <f t="shared" si="3"/>
        <v>400</v>
      </c>
      <c r="L22" s="309">
        <f t="shared" si="3"/>
        <v>400</v>
      </c>
      <c r="M22" s="309">
        <f t="shared" si="3"/>
        <v>400</v>
      </c>
      <c r="N22" s="309">
        <f t="shared" si="3"/>
        <v>400</v>
      </c>
      <c r="O22" s="309">
        <f t="shared" si="3"/>
        <v>400</v>
      </c>
      <c r="P22" s="309">
        <f t="shared" si="3"/>
        <v>400</v>
      </c>
      <c r="Q22" s="309">
        <f t="shared" si="3"/>
        <v>400</v>
      </c>
      <c r="R22" s="309">
        <f t="shared" si="3"/>
        <v>400</v>
      </c>
      <c r="S22" s="309">
        <f t="shared" si="3"/>
        <v>400</v>
      </c>
      <c r="T22" s="309">
        <f t="shared" si="3"/>
        <v>400</v>
      </c>
      <c r="U22" s="309">
        <f t="shared" si="3"/>
        <v>400</v>
      </c>
      <c r="V22" s="309">
        <f t="shared" si="3"/>
        <v>400</v>
      </c>
      <c r="W22" s="309">
        <f t="shared" si="3"/>
        <v>400</v>
      </c>
      <c r="X22" s="309">
        <f t="shared" si="3"/>
        <v>400</v>
      </c>
      <c r="Y22" s="309">
        <f t="shared" si="3"/>
        <v>400</v>
      </c>
      <c r="Z22" s="309">
        <f t="shared" si="3"/>
        <v>400</v>
      </c>
      <c r="AA22" s="309">
        <f t="shared" si="3"/>
        <v>400</v>
      </c>
      <c r="AB22" s="308">
        <f t="shared" si="3"/>
        <v>400</v>
      </c>
    </row>
    <row r="23" spans="5:28">
      <c r="E23" s="307" t="s">
        <v>92</v>
      </c>
      <c r="I23" s="306">
        <f>$G$26*$B$4*$B$13</f>
        <v>6871.8554134179549</v>
      </c>
      <c r="J23" s="305">
        <f>$G$26*$B$4*$B$13</f>
        <v>6871.8554134179549</v>
      </c>
      <c r="K23" s="305">
        <f t="shared" ref="K23:AB23" si="4">$G$26*$B$4*$B$13</f>
        <v>6871.8554134179549</v>
      </c>
      <c r="L23" s="305">
        <f t="shared" si="4"/>
        <v>6871.8554134179549</v>
      </c>
      <c r="M23" s="305">
        <f t="shared" si="4"/>
        <v>6871.8554134179549</v>
      </c>
      <c r="N23" s="305">
        <f t="shared" si="4"/>
        <v>6871.8554134179549</v>
      </c>
      <c r="O23" s="305">
        <f t="shared" si="4"/>
        <v>6871.8554134179549</v>
      </c>
      <c r="P23" s="305">
        <f t="shared" si="4"/>
        <v>6871.8554134179549</v>
      </c>
      <c r="Q23" s="305">
        <f t="shared" si="4"/>
        <v>6871.8554134179549</v>
      </c>
      <c r="R23" s="305">
        <f t="shared" si="4"/>
        <v>6871.8554134179549</v>
      </c>
      <c r="S23" s="305">
        <f t="shared" si="4"/>
        <v>6871.8554134179549</v>
      </c>
      <c r="T23" s="305">
        <f t="shared" si="4"/>
        <v>6871.8554134179549</v>
      </c>
      <c r="U23" s="305">
        <f t="shared" si="4"/>
        <v>6871.8554134179549</v>
      </c>
      <c r="V23" s="305">
        <f t="shared" si="4"/>
        <v>6871.8554134179549</v>
      </c>
      <c r="W23" s="305">
        <f t="shared" si="4"/>
        <v>6871.8554134179549</v>
      </c>
      <c r="X23" s="305">
        <f t="shared" si="4"/>
        <v>6871.8554134179549</v>
      </c>
      <c r="Y23" s="305">
        <f t="shared" si="4"/>
        <v>6871.8554134179549</v>
      </c>
      <c r="Z23" s="305">
        <f t="shared" si="4"/>
        <v>6871.8554134179549</v>
      </c>
      <c r="AA23" s="305">
        <f t="shared" si="4"/>
        <v>6871.8554134179549</v>
      </c>
      <c r="AB23" s="304">
        <f t="shared" si="4"/>
        <v>6871.8554134179549</v>
      </c>
    </row>
    <row r="24" spans="5:28">
      <c r="E24" s="301" t="s">
        <v>71</v>
      </c>
      <c r="F24" s="299">
        <f>-F18+F19+F20+F21+F22-F23</f>
        <v>-600</v>
      </c>
      <c r="G24" s="299">
        <f t="shared" ref="G24:AB24" si="5">-G18+G19+G20+G21+G22-G23</f>
        <v>-1500</v>
      </c>
      <c r="H24" s="299">
        <f t="shared" si="5"/>
        <v>-900</v>
      </c>
      <c r="I24" s="303">
        <f>-I18+I19+I20+I21+I22-I23</f>
        <v>546.14458658204512</v>
      </c>
      <c r="J24" s="303">
        <f t="shared" si="5"/>
        <v>546.14458658204512</v>
      </c>
      <c r="K24" s="303">
        <f t="shared" si="5"/>
        <v>546.14458658204512</v>
      </c>
      <c r="L24" s="303">
        <f t="shared" si="5"/>
        <v>546.14458658204512</v>
      </c>
      <c r="M24" s="303">
        <f t="shared" si="5"/>
        <v>546.14458658204512</v>
      </c>
      <c r="N24" s="303">
        <f t="shared" si="5"/>
        <v>546.14458658204512</v>
      </c>
      <c r="O24" s="303">
        <f t="shared" si="5"/>
        <v>546.14458658204512</v>
      </c>
      <c r="P24" s="303">
        <f t="shared" si="5"/>
        <v>546.14458658204512</v>
      </c>
      <c r="Q24" s="303">
        <f t="shared" si="5"/>
        <v>546.14458658204512</v>
      </c>
      <c r="R24" s="303">
        <f t="shared" si="5"/>
        <v>546.14458658204512</v>
      </c>
      <c r="S24" s="303">
        <f t="shared" si="5"/>
        <v>546.14458658204512</v>
      </c>
      <c r="T24" s="303">
        <f t="shared" si="5"/>
        <v>546.14458658204512</v>
      </c>
      <c r="U24" s="303">
        <f t="shared" si="5"/>
        <v>546.14458658204512</v>
      </c>
      <c r="V24" s="303">
        <f t="shared" si="5"/>
        <v>546.14458658204512</v>
      </c>
      <c r="W24" s="303">
        <f t="shared" si="5"/>
        <v>546.14458658204512</v>
      </c>
      <c r="X24" s="303">
        <f t="shared" si="5"/>
        <v>546.14458658204512</v>
      </c>
      <c r="Y24" s="303">
        <f t="shared" si="5"/>
        <v>546.14458658204512</v>
      </c>
      <c r="Z24" s="303">
        <f t="shared" si="5"/>
        <v>546.14458658204512</v>
      </c>
      <c r="AA24" s="303">
        <f t="shared" si="5"/>
        <v>546.14458658204512</v>
      </c>
      <c r="AB24" s="302">
        <f t="shared" si="5"/>
        <v>546.14458658204512</v>
      </c>
    </row>
    <row r="26" spans="5:28">
      <c r="F26" s="301" t="s">
        <v>91</v>
      </c>
      <c r="G26" s="300">
        <v>0.37185364791222703</v>
      </c>
      <c r="H26" s="299" t="s">
        <v>90</v>
      </c>
      <c r="I26" s="298"/>
    </row>
    <row r="28" spans="5:28">
      <c r="F28" s="297">
        <f>NPV(B11,F24:AB24)</f>
        <v>4.1378301751177318E-11</v>
      </c>
      <c r="G28" s="296" t="s">
        <v>3</v>
      </c>
    </row>
  </sheetData>
  <mergeCells count="2">
    <mergeCell ref="A5:D5"/>
    <mergeCell ref="A1:K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4FBA-C556-4CC6-98BF-4AC11926411E}">
  <dimension ref="A1:O20"/>
  <sheetViews>
    <sheetView zoomScale="130" zoomScaleNormal="130" workbookViewId="0">
      <selection activeCell="G25" sqref="G25"/>
    </sheetView>
  </sheetViews>
  <sheetFormatPr defaultColWidth="9.109375" defaultRowHeight="13.8"/>
  <cols>
    <col min="1" max="1" width="13.6640625" style="401" customWidth="1"/>
    <col min="2" max="2" width="9.88671875" style="401" customWidth="1"/>
    <col min="3" max="3" width="9.109375" style="401"/>
    <col min="4" max="4" width="5.5546875" style="401" customWidth="1"/>
    <col min="5" max="5" width="18.33203125" style="401" bestFit="1" customWidth="1"/>
    <col min="6" max="16384" width="9.109375" style="401"/>
  </cols>
  <sheetData>
    <row r="1" spans="1:15">
      <c r="A1" s="475" t="s">
        <v>138</v>
      </c>
      <c r="B1" s="476"/>
      <c r="C1" s="476"/>
      <c r="D1" s="476"/>
      <c r="E1" s="476"/>
      <c r="F1" s="476"/>
      <c r="G1" s="476"/>
      <c r="H1" s="476"/>
      <c r="I1" s="476"/>
      <c r="J1" s="476"/>
      <c r="K1" s="476"/>
      <c r="L1" s="476"/>
      <c r="M1" s="476"/>
      <c r="N1" s="476"/>
    </row>
    <row r="2" spans="1:15" ht="18.75" customHeight="1">
      <c r="A2" s="476"/>
      <c r="B2" s="476"/>
      <c r="C2" s="476"/>
      <c r="D2" s="476"/>
      <c r="E2" s="476"/>
      <c r="F2" s="476"/>
      <c r="G2" s="476"/>
      <c r="H2" s="476"/>
      <c r="I2" s="476"/>
      <c r="J2" s="476"/>
      <c r="K2" s="476"/>
      <c r="L2" s="476"/>
      <c r="M2" s="476"/>
      <c r="N2" s="476"/>
    </row>
    <row r="3" spans="1:15">
      <c r="A3" s="476"/>
      <c r="B3" s="476"/>
      <c r="C3" s="476"/>
      <c r="D3" s="476"/>
      <c r="E3" s="476"/>
      <c r="F3" s="476"/>
      <c r="G3" s="476"/>
      <c r="H3" s="476"/>
      <c r="I3" s="476"/>
      <c r="J3" s="476"/>
      <c r="K3" s="476"/>
      <c r="L3" s="476"/>
      <c r="M3" s="476"/>
      <c r="N3" s="476"/>
    </row>
    <row r="4" spans="1:15">
      <c r="A4" s="476"/>
      <c r="B4" s="476"/>
      <c r="C4" s="476"/>
      <c r="D4" s="476"/>
      <c r="E4" s="476"/>
      <c r="F4" s="476"/>
      <c r="G4" s="476"/>
      <c r="H4" s="476"/>
      <c r="I4" s="476"/>
      <c r="J4" s="476"/>
      <c r="K4" s="476"/>
      <c r="L4" s="476"/>
      <c r="M4" s="476"/>
      <c r="N4" s="476"/>
    </row>
    <row r="5" spans="1:15" ht="25.5" customHeight="1">
      <c r="A5" s="476"/>
      <c r="B5" s="476"/>
      <c r="C5" s="476"/>
      <c r="D5" s="476"/>
      <c r="E5" s="476"/>
      <c r="F5" s="476"/>
      <c r="G5" s="476"/>
      <c r="H5" s="476"/>
      <c r="I5" s="476"/>
      <c r="J5" s="476"/>
      <c r="K5" s="476"/>
      <c r="L5" s="476"/>
      <c r="M5" s="476"/>
      <c r="N5" s="476"/>
    </row>
    <row r="6" spans="1:15" s="402" customFormat="1" ht="9.75" customHeight="1"/>
    <row r="7" spans="1:15" s="406" customFormat="1" ht="18" customHeight="1">
      <c r="A7" s="403" t="s">
        <v>4</v>
      </c>
      <c r="B7" s="404">
        <v>500</v>
      </c>
      <c r="C7" s="405" t="s">
        <v>5</v>
      </c>
    </row>
    <row r="8" spans="1:15" s="406" customFormat="1" ht="18" customHeight="1">
      <c r="A8" s="407" t="s">
        <v>0</v>
      </c>
      <c r="B8" s="408">
        <f>B7*600000/10^6</f>
        <v>300</v>
      </c>
      <c r="C8" s="409" t="s">
        <v>1</v>
      </c>
    </row>
    <row r="9" spans="1:15" s="406" customFormat="1" ht="18" customHeight="1">
      <c r="A9" s="410" t="s">
        <v>132</v>
      </c>
      <c r="B9" s="411">
        <v>7200</v>
      </c>
      <c r="C9" s="412" t="s">
        <v>133</v>
      </c>
      <c r="F9" s="413">
        <v>0.2</v>
      </c>
      <c r="G9" s="413">
        <v>0.5</v>
      </c>
      <c r="H9" s="413">
        <v>0.3</v>
      </c>
    </row>
    <row r="10" spans="1:15">
      <c r="E10" s="406"/>
      <c r="F10" s="403">
        <v>1</v>
      </c>
      <c r="G10" s="414">
        <v>2</v>
      </c>
      <c r="H10" s="414">
        <v>3</v>
      </c>
      <c r="I10" s="414">
        <v>4</v>
      </c>
      <c r="J10" s="414">
        <v>5</v>
      </c>
      <c r="K10" s="414">
        <v>6</v>
      </c>
      <c r="L10" s="414">
        <v>7</v>
      </c>
      <c r="M10" s="405">
        <v>8</v>
      </c>
      <c r="N10" s="406"/>
      <c r="O10" s="406"/>
    </row>
    <row r="11" spans="1:15" ht="18.600000000000001">
      <c r="E11" s="415" t="s">
        <v>6</v>
      </c>
      <c r="F11" s="403">
        <f>-$B$8*F9</f>
        <v>-60</v>
      </c>
      <c r="G11" s="414">
        <f t="shared" ref="G11:H11" si="0">-$B$8*G9</f>
        <v>-150</v>
      </c>
      <c r="H11" s="414">
        <f t="shared" si="0"/>
        <v>-90</v>
      </c>
      <c r="I11" s="414"/>
      <c r="J11" s="414"/>
      <c r="K11" s="414"/>
      <c r="L11" s="414"/>
      <c r="M11" s="405"/>
      <c r="N11" s="406"/>
      <c r="O11" s="406"/>
    </row>
    <row r="12" spans="1:15" ht="18.600000000000001">
      <c r="E12" s="416" t="s">
        <v>134</v>
      </c>
      <c r="F12" s="407"/>
      <c r="G12" s="406"/>
      <c r="H12" s="406"/>
      <c r="I12" s="417">
        <f>B7*1000*B17*B9/10^6</f>
        <v>99.015970758976565</v>
      </c>
      <c r="J12" s="417">
        <f>I12</f>
        <v>99.015970758976565</v>
      </c>
      <c r="K12" s="417">
        <f t="shared" ref="K12:M12" si="1">J12</f>
        <v>99.015970758976565</v>
      </c>
      <c r="L12" s="417">
        <f t="shared" si="1"/>
        <v>99.015970758976565</v>
      </c>
      <c r="M12" s="418">
        <f t="shared" si="1"/>
        <v>99.015970758976565</v>
      </c>
      <c r="N12" s="406"/>
      <c r="O12" s="406"/>
    </row>
    <row r="13" spans="1:15" ht="17.25" customHeight="1">
      <c r="E13" s="419" t="s">
        <v>135</v>
      </c>
      <c r="F13" s="407"/>
      <c r="G13" s="406"/>
      <c r="H13" s="406"/>
      <c r="I13" s="406"/>
      <c r="J13" s="406"/>
      <c r="K13" s="406"/>
      <c r="L13" s="406"/>
      <c r="M13" s="420">
        <f>B8/2</f>
        <v>150</v>
      </c>
      <c r="N13" s="406"/>
      <c r="O13" s="406"/>
    </row>
    <row r="14" spans="1:15" ht="20.25" customHeight="1">
      <c r="E14" s="421" t="s">
        <v>7</v>
      </c>
      <c r="F14" s="422">
        <f>SUM(F11:F13)</f>
        <v>-60</v>
      </c>
      <c r="G14" s="423">
        <f t="shared" ref="G14:M14" si="2">SUM(G11:G13)</f>
        <v>-150</v>
      </c>
      <c r="H14" s="423">
        <f t="shared" si="2"/>
        <v>-90</v>
      </c>
      <c r="I14" s="424">
        <f>SUM(I11:I13)</f>
        <v>99.015970758976565</v>
      </c>
      <c r="J14" s="424">
        <f t="shared" si="2"/>
        <v>99.015970758976565</v>
      </c>
      <c r="K14" s="424">
        <f t="shared" si="2"/>
        <v>99.015970758976565</v>
      </c>
      <c r="L14" s="424">
        <f t="shared" si="2"/>
        <v>99.015970758976565</v>
      </c>
      <c r="M14" s="425">
        <f t="shared" si="2"/>
        <v>249.01597075897655</v>
      </c>
      <c r="N14" s="406"/>
      <c r="O14" s="406"/>
    </row>
    <row r="15" spans="1:15">
      <c r="E15" s="406"/>
      <c r="F15" s="406"/>
      <c r="G15" s="406"/>
      <c r="H15" s="406"/>
      <c r="I15" s="406"/>
      <c r="J15" s="406"/>
      <c r="K15" s="406"/>
      <c r="L15" s="406"/>
      <c r="M15" s="406"/>
      <c r="N15" s="406"/>
      <c r="O15" s="406"/>
    </row>
    <row r="16" spans="1:15">
      <c r="E16" s="406"/>
      <c r="F16" s="406"/>
      <c r="G16" s="406"/>
      <c r="H16" s="406"/>
      <c r="I16" s="406"/>
      <c r="J16" s="406"/>
      <c r="K16" s="406"/>
      <c r="L16" s="406"/>
      <c r="M16" s="406"/>
      <c r="N16" s="406"/>
      <c r="O16" s="406"/>
    </row>
    <row r="17" spans="1:15" ht="24.75" customHeight="1">
      <c r="A17" s="426" t="s">
        <v>136</v>
      </c>
      <c r="B17" s="427">
        <v>2.7504436321937935E-2</v>
      </c>
      <c r="C17" s="428" t="s">
        <v>137</v>
      </c>
      <c r="D17" s="406"/>
      <c r="E17" s="429" t="s">
        <v>3</v>
      </c>
      <c r="F17" s="430">
        <f>NPV(20%,F14:M14)</f>
        <v>0</v>
      </c>
      <c r="G17" s="406"/>
      <c r="H17" s="406"/>
      <c r="I17" s="406"/>
      <c r="J17" s="406"/>
      <c r="K17" s="406"/>
      <c r="L17" s="406"/>
      <c r="M17" s="406"/>
      <c r="N17" s="406"/>
      <c r="O17" s="406"/>
    </row>
    <row r="18" spans="1:15">
      <c r="E18" s="406"/>
      <c r="F18" s="406"/>
      <c r="G18" s="406"/>
      <c r="H18" s="406"/>
      <c r="I18" s="406"/>
      <c r="J18" s="406"/>
      <c r="K18" s="406"/>
      <c r="L18" s="406"/>
      <c r="M18" s="406"/>
      <c r="N18" s="406"/>
      <c r="O18" s="406"/>
    </row>
    <row r="19" spans="1:15">
      <c r="E19" s="406"/>
      <c r="F19" s="406"/>
      <c r="G19" s="406"/>
      <c r="H19" s="406"/>
      <c r="I19" s="406"/>
      <c r="J19" s="406"/>
      <c r="K19" s="406"/>
      <c r="L19" s="406"/>
      <c r="M19" s="406"/>
      <c r="N19" s="406"/>
      <c r="O19" s="406"/>
    </row>
    <row r="20" spans="1:15">
      <c r="E20" s="406"/>
      <c r="F20" s="406"/>
      <c r="G20" s="406"/>
      <c r="H20" s="406"/>
      <c r="I20" s="406"/>
      <c r="J20" s="406"/>
      <c r="K20" s="406"/>
      <c r="L20" s="406"/>
      <c r="M20" s="406"/>
      <c r="N20" s="406"/>
      <c r="O20" s="406"/>
    </row>
  </sheetData>
  <mergeCells count="1">
    <mergeCell ref="A1:N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095D7-F241-40C1-AB6A-8190379D5586}">
  <dimension ref="A1:J27"/>
  <sheetViews>
    <sheetView zoomScale="115" zoomScaleNormal="115" workbookViewId="0">
      <selection activeCell="D19" sqref="D19"/>
    </sheetView>
  </sheetViews>
  <sheetFormatPr defaultColWidth="8.88671875" defaultRowHeight="14.4"/>
  <cols>
    <col min="1" max="1" width="24.33203125" style="3" bestFit="1" customWidth="1"/>
    <col min="2" max="2" width="19.44140625" style="3" bestFit="1" customWidth="1"/>
    <col min="3" max="3" width="16.33203125" style="3" bestFit="1" customWidth="1"/>
    <col min="4" max="4" width="19" style="3" bestFit="1" customWidth="1"/>
    <col min="5" max="8" width="17.33203125" style="3" bestFit="1" customWidth="1"/>
    <col min="9" max="16384" width="8.88671875" style="3"/>
  </cols>
  <sheetData>
    <row r="1" spans="1:8" ht="167.25" customHeight="1" thickBot="1">
      <c r="A1" s="477" t="s">
        <v>128</v>
      </c>
      <c r="B1" s="478"/>
      <c r="C1" s="478"/>
      <c r="D1" s="478"/>
      <c r="E1" s="478"/>
      <c r="F1" s="478"/>
      <c r="G1" s="478"/>
      <c r="H1" s="478"/>
    </row>
    <row r="2" spans="1:8" ht="21">
      <c r="A2" s="356" t="s">
        <v>117</v>
      </c>
      <c r="B2" s="357"/>
      <c r="C2" s="357"/>
      <c r="D2" s="357"/>
      <c r="E2" s="357"/>
      <c r="F2" s="357"/>
      <c r="G2" s="357"/>
      <c r="H2" s="358"/>
    </row>
    <row r="3" spans="1:8" ht="13.2" customHeight="1">
      <c r="A3" s="359"/>
      <c r="H3" s="360"/>
    </row>
    <row r="4" spans="1:8" ht="15.6">
      <c r="A4" s="361" t="s">
        <v>118</v>
      </c>
      <c r="B4" s="362">
        <v>1000</v>
      </c>
      <c r="C4" s="363" t="s">
        <v>119</v>
      </c>
      <c r="H4" s="360"/>
    </row>
    <row r="5" spans="1:8" ht="15.6">
      <c r="A5" s="361" t="s">
        <v>120</v>
      </c>
      <c r="B5" s="364">
        <v>10000000</v>
      </c>
      <c r="C5" s="363" t="s">
        <v>121</v>
      </c>
      <c r="H5" s="360"/>
    </row>
    <row r="6" spans="1:8" ht="15.6">
      <c r="A6" s="361" t="s">
        <v>122</v>
      </c>
      <c r="B6" s="364">
        <f>B4*B5</f>
        <v>10000000000</v>
      </c>
      <c r="C6" s="363" t="s">
        <v>121</v>
      </c>
      <c r="H6" s="360"/>
    </row>
    <row r="7" spans="1:8">
      <c r="A7" s="365"/>
      <c r="H7" s="360"/>
    </row>
    <row r="8" spans="1:8">
      <c r="A8" s="365"/>
      <c r="C8" s="366">
        <v>1</v>
      </c>
      <c r="D8" s="366">
        <v>2</v>
      </c>
      <c r="E8" s="366">
        <v>3</v>
      </c>
      <c r="F8" s="366">
        <v>4</v>
      </c>
      <c r="G8" s="366">
        <v>5</v>
      </c>
      <c r="H8" s="367">
        <v>6</v>
      </c>
    </row>
    <row r="9" spans="1:8">
      <c r="A9" s="365"/>
      <c r="C9" s="368">
        <f>-10%*B6</f>
        <v>-1000000000</v>
      </c>
      <c r="D9" s="368">
        <f>PMT(14%,5,B6+C9)</f>
        <v>-2621551918.4193912</v>
      </c>
      <c r="E9" s="368">
        <f>D9</f>
        <v>-2621551918.4193912</v>
      </c>
      <c r="F9" s="368">
        <f t="shared" ref="F9:H9" si="0">E9</f>
        <v>-2621551918.4193912</v>
      </c>
      <c r="G9" s="368">
        <f t="shared" si="0"/>
        <v>-2621551918.4193912</v>
      </c>
      <c r="H9" s="369">
        <f t="shared" si="0"/>
        <v>-2621551918.4193912</v>
      </c>
    </row>
    <row r="10" spans="1:8" ht="15.6">
      <c r="A10" s="370" t="s">
        <v>123</v>
      </c>
      <c r="B10" s="371">
        <f>NPV(10%,C9:H9)</f>
        <v>-9943403934.2377834</v>
      </c>
      <c r="H10" s="360"/>
    </row>
    <row r="11" spans="1:8" ht="16.2" thickBot="1">
      <c r="A11" s="372"/>
      <c r="B11" s="373"/>
      <c r="C11" s="374"/>
      <c r="D11" s="374"/>
      <c r="E11" s="374"/>
      <c r="F11" s="374"/>
      <c r="G11" s="374"/>
      <c r="H11" s="375"/>
    </row>
    <row r="12" spans="1:8" s="379" customFormat="1" ht="28.2" customHeight="1">
      <c r="A12" s="376" t="s">
        <v>124</v>
      </c>
      <c r="B12" s="377"/>
      <c r="C12" s="377"/>
      <c r="D12" s="377"/>
      <c r="E12" s="377"/>
      <c r="F12" s="377"/>
      <c r="G12" s="377"/>
      <c r="H12" s="378"/>
    </row>
    <row r="13" spans="1:8" ht="15.6">
      <c r="A13" s="380" t="s">
        <v>125</v>
      </c>
      <c r="B13" s="371">
        <f>-85%*B6</f>
        <v>-8500000000</v>
      </c>
      <c r="H13" s="360"/>
    </row>
    <row r="14" spans="1:8" ht="15.6">
      <c r="A14" s="380" t="s">
        <v>126</v>
      </c>
      <c r="B14" s="371">
        <v>-7500000000</v>
      </c>
      <c r="H14" s="360"/>
    </row>
    <row r="15" spans="1:8" ht="15.6">
      <c r="A15" s="365"/>
      <c r="B15" s="371"/>
      <c r="H15" s="360"/>
    </row>
    <row r="16" spans="1:8">
      <c r="A16" s="365"/>
      <c r="C16" s="366">
        <v>1</v>
      </c>
      <c r="D16" s="366">
        <v>2</v>
      </c>
      <c r="E16" s="366">
        <v>3</v>
      </c>
      <c r="F16" s="366">
        <v>4</v>
      </c>
      <c r="G16" s="366">
        <v>5</v>
      </c>
      <c r="H16" s="367">
        <v>6</v>
      </c>
    </row>
    <row r="17" spans="1:10">
      <c r="A17" s="365"/>
      <c r="C17" s="368">
        <f>-10%*B6</f>
        <v>-1000000000</v>
      </c>
      <c r="D17" s="368">
        <f>PMT(B19,5,7500000000)</f>
        <v>-2621551918.0000505</v>
      </c>
      <c r="E17" s="368">
        <f>D17</f>
        <v>-2621551918.0000505</v>
      </c>
      <c r="F17" s="368">
        <f t="shared" ref="F17:H17" si="1">E17</f>
        <v>-2621551918.0000505</v>
      </c>
      <c r="G17" s="368">
        <f t="shared" si="1"/>
        <v>-2621551918.0000505</v>
      </c>
      <c r="H17" s="369">
        <f t="shared" si="1"/>
        <v>-2621551918.0000505</v>
      </c>
    </row>
    <row r="18" spans="1:10" ht="16.2" thickBot="1">
      <c r="A18" s="381"/>
      <c r="B18" s="371"/>
      <c r="C18" s="374"/>
      <c r="D18" s="373"/>
      <c r="E18" s="374"/>
      <c r="F18" s="374"/>
      <c r="G18" s="374"/>
      <c r="H18" s="375"/>
    </row>
    <row r="19" spans="1:10" ht="35.25" customHeight="1" thickBot="1">
      <c r="A19" s="382" t="s">
        <v>127</v>
      </c>
      <c r="B19" s="383">
        <v>0.22044761523312559</v>
      </c>
    </row>
    <row r="20" spans="1:10">
      <c r="D20" s="384">
        <f>PMT(B19,5,-B14)</f>
        <v>-2621551918.0000505</v>
      </c>
    </row>
    <row r="21" spans="1:10" ht="20.399999999999999" customHeight="1"/>
    <row r="24" spans="1:10">
      <c r="B24" s="385">
        <v>6.1699999999999998E-2</v>
      </c>
    </row>
    <row r="25" spans="1:10">
      <c r="E25" s="3">
        <v>7.5</v>
      </c>
      <c r="F25" s="386">
        <v>-1.7901711234737228</v>
      </c>
      <c r="G25" s="3">
        <f>F25</f>
        <v>-1.7901711234737228</v>
      </c>
      <c r="H25" s="3">
        <f t="shared" ref="H25:J25" si="2">G25</f>
        <v>-1.7901711234737228</v>
      </c>
      <c r="I25" s="3">
        <f t="shared" si="2"/>
        <v>-1.7901711234737228</v>
      </c>
      <c r="J25" s="3">
        <f t="shared" si="2"/>
        <v>-1.7901711234737228</v>
      </c>
    </row>
    <row r="26" spans="1:10">
      <c r="E26" s="3">
        <f t="shared" ref="E26:J26" si="3">E25/(1+$B$24)^(C16-1)</f>
        <v>7.5</v>
      </c>
      <c r="F26" s="3">
        <f t="shared" si="3"/>
        <v>-1.6861365013409839</v>
      </c>
      <c r="G26" s="3">
        <f t="shared" si="3"/>
        <v>-1.5881477831223354</v>
      </c>
      <c r="H26" s="3">
        <f t="shared" si="3"/>
        <v>-1.49585361507237</v>
      </c>
      <c r="I26" s="3">
        <f t="shared" si="3"/>
        <v>-1.408923062138429</v>
      </c>
      <c r="J26" s="3">
        <f t="shared" si="3"/>
        <v>-1.3270444213416492</v>
      </c>
    </row>
    <row r="27" spans="1:10">
      <c r="E27" s="3">
        <f>SUM(E26:J26)</f>
        <v>-6.1053830157677957E-3</v>
      </c>
    </row>
  </sheetData>
  <mergeCells count="1">
    <mergeCell ref="A1:H1"/>
  </mergeCells>
  <hyperlinks>
    <hyperlink ref="A10" r:id="rId1" xr:uid="{B9F2A997-8793-4A54-BB56-56D4660951CE}"/>
  </hyperlinks>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DADFC-D9D1-43AF-8230-F90F36F0C49F}">
  <dimension ref="A1:H19"/>
  <sheetViews>
    <sheetView zoomScaleNormal="100" workbookViewId="0">
      <selection sqref="A1:H1"/>
    </sheetView>
  </sheetViews>
  <sheetFormatPr defaultColWidth="8.88671875" defaultRowHeight="14.4"/>
  <cols>
    <col min="1" max="1" width="22.109375" style="3" bestFit="1" customWidth="1"/>
    <col min="2" max="2" width="19.44140625" style="3" bestFit="1" customWidth="1"/>
    <col min="3" max="4" width="19" style="3" bestFit="1" customWidth="1"/>
    <col min="5" max="7" width="17.33203125" style="3" bestFit="1" customWidth="1"/>
    <col min="8" max="8" width="17.5546875" style="3" customWidth="1"/>
    <col min="9" max="16384" width="8.88671875" style="3"/>
  </cols>
  <sheetData>
    <row r="1" spans="1:8" ht="112.5" customHeight="1" thickBot="1">
      <c r="A1" s="477" t="s">
        <v>131</v>
      </c>
      <c r="B1" s="478"/>
      <c r="C1" s="478"/>
      <c r="D1" s="478"/>
      <c r="E1" s="478"/>
      <c r="F1" s="478"/>
      <c r="G1" s="478"/>
      <c r="H1" s="478"/>
    </row>
    <row r="2" spans="1:8" ht="13.2" customHeight="1">
      <c r="A2" s="390"/>
      <c r="B2" s="357"/>
      <c r="C2" s="357"/>
      <c r="D2" s="357"/>
      <c r="E2" s="357"/>
      <c r="F2" s="357"/>
      <c r="G2" s="357"/>
      <c r="H2" s="358"/>
    </row>
    <row r="3" spans="1:8" ht="15.6">
      <c r="A3" s="361" t="s">
        <v>118</v>
      </c>
      <c r="B3" s="391">
        <v>1000</v>
      </c>
      <c r="C3" s="392" t="s">
        <v>119</v>
      </c>
      <c r="D3" s="393"/>
      <c r="E3" s="393"/>
      <c r="F3" s="393"/>
      <c r="G3" s="393"/>
      <c r="H3" s="360"/>
    </row>
    <row r="4" spans="1:8" ht="15.6">
      <c r="A4" s="361" t="s">
        <v>120</v>
      </c>
      <c r="B4" s="387">
        <v>10000000</v>
      </c>
      <c r="C4" s="392" t="s">
        <v>121</v>
      </c>
      <c r="D4" s="393"/>
      <c r="E4" s="393"/>
      <c r="F4" s="393"/>
      <c r="G4" s="393"/>
      <c r="H4" s="360"/>
    </row>
    <row r="5" spans="1:8" ht="15.6">
      <c r="A5" s="361" t="s">
        <v>122</v>
      </c>
      <c r="B5" s="387">
        <f>B3*B4</f>
        <v>10000000000</v>
      </c>
      <c r="C5" s="392" t="s">
        <v>129</v>
      </c>
      <c r="D5" s="393"/>
      <c r="E5" s="393"/>
      <c r="F5" s="393"/>
      <c r="G5" s="393"/>
      <c r="H5" s="360"/>
    </row>
    <row r="6" spans="1:8">
      <c r="A6" s="365"/>
      <c r="B6" s="393"/>
      <c r="C6" s="393"/>
      <c r="D6" s="393"/>
      <c r="E6" s="393"/>
      <c r="F6" s="393"/>
      <c r="G6" s="393"/>
      <c r="H6" s="360"/>
    </row>
    <row r="7" spans="1:8">
      <c r="A7" s="365"/>
      <c r="B7" s="393"/>
      <c r="C7" s="394">
        <v>1</v>
      </c>
      <c r="D7" s="394">
        <v>2</v>
      </c>
      <c r="E7" s="394">
        <v>3</v>
      </c>
      <c r="F7" s="394">
        <v>4</v>
      </c>
      <c r="G7" s="394">
        <v>5</v>
      </c>
      <c r="H7" s="367">
        <v>6</v>
      </c>
    </row>
    <row r="8" spans="1:8">
      <c r="A8" s="365"/>
      <c r="B8" s="393"/>
      <c r="C8" s="395">
        <f>-B5+1000000000</f>
        <v>-9000000000</v>
      </c>
      <c r="D8" s="396">
        <v>0</v>
      </c>
      <c r="E8" s="396">
        <v>3312693278.7938147</v>
      </c>
      <c r="F8" s="396">
        <f>E8</f>
        <v>3312693278.7938147</v>
      </c>
      <c r="G8" s="396">
        <f>F8</f>
        <v>3312693278.7938147</v>
      </c>
      <c r="H8" s="369">
        <f>G8*2</f>
        <v>6625386557.5876293</v>
      </c>
    </row>
    <row r="9" spans="1:8">
      <c r="A9" s="365"/>
      <c r="B9" s="393"/>
      <c r="C9" s="394"/>
      <c r="D9" s="394"/>
      <c r="E9" s="394"/>
      <c r="F9" s="394"/>
      <c r="G9" s="394"/>
      <c r="H9" s="367"/>
    </row>
    <row r="10" spans="1:8">
      <c r="A10" s="365"/>
      <c r="B10" s="393"/>
      <c r="C10" s="397">
        <f>NPV(18%,D8:H8)+C8</f>
        <v>0</v>
      </c>
      <c r="D10" s="394"/>
      <c r="E10" s="394"/>
      <c r="F10" s="394"/>
      <c r="G10" s="394"/>
      <c r="H10" s="367"/>
    </row>
    <row r="11" spans="1:8">
      <c r="A11" s="365"/>
      <c r="B11" s="393"/>
      <c r="C11" s="394"/>
      <c r="D11" s="394"/>
      <c r="E11" s="394"/>
      <c r="F11" s="394"/>
      <c r="G11" s="394"/>
      <c r="H11" s="367"/>
    </row>
    <row r="12" spans="1:8">
      <c r="A12" s="365"/>
      <c r="B12" s="393"/>
      <c r="C12" s="396">
        <f>-10%*B5</f>
        <v>-1000000000</v>
      </c>
      <c r="D12" s="398">
        <f>-D8</f>
        <v>0</v>
      </c>
      <c r="E12" s="398">
        <f>-E8</f>
        <v>-3312693278.7938147</v>
      </c>
      <c r="F12" s="398">
        <f t="shared" ref="F12:H12" si="0">-F8</f>
        <v>-3312693278.7938147</v>
      </c>
      <c r="G12" s="398">
        <f t="shared" si="0"/>
        <v>-3312693278.7938147</v>
      </c>
      <c r="H12" s="399">
        <f t="shared" si="0"/>
        <v>-6625386557.5876293</v>
      </c>
    </row>
    <row r="13" spans="1:8" ht="18">
      <c r="A13" s="388" t="s">
        <v>3</v>
      </c>
      <c r="B13" s="400">
        <f>NPV(30%,D12:H12)+C12</f>
        <v>-7412274563.4017191</v>
      </c>
      <c r="C13" s="393"/>
      <c r="D13" s="393"/>
      <c r="E13" s="393"/>
      <c r="F13" s="393"/>
      <c r="G13" s="393"/>
      <c r="H13" s="360"/>
    </row>
    <row r="14" spans="1:8" ht="16.2" thickBot="1">
      <c r="A14" s="372"/>
      <c r="B14" s="373"/>
      <c r="C14" s="374"/>
      <c r="D14" s="374"/>
      <c r="E14" s="374"/>
      <c r="F14" s="374"/>
      <c r="G14" s="374"/>
      <c r="H14" s="375"/>
    </row>
    <row r="16" spans="1:8">
      <c r="A16" s="3" t="s">
        <v>130</v>
      </c>
      <c r="B16" s="389">
        <f>-B13/B3</f>
        <v>7412274.5634017196</v>
      </c>
    </row>
    <row r="19" spans="2:2">
      <c r="B19" s="385"/>
    </row>
  </sheetData>
  <mergeCells count="1">
    <mergeCell ref="A1:H1"/>
  </mergeCells>
  <hyperlinks>
    <hyperlink ref="A13" r:id="rId1" display="NPV@30%=" xr:uid="{BE3D4770-8183-4295-8258-255F63BD7B12}"/>
  </hyperlinks>
  <pageMargins left="0.7" right="0.7" top="0.75" bottom="0.75" header="0.3" footer="0.3"/>
  <pageSetup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B61D4-B50B-4804-A541-4AC5E5B7305B}">
  <dimension ref="B1:B4"/>
  <sheetViews>
    <sheetView workbookViewId="0">
      <selection activeCell="B4" sqref="B4"/>
    </sheetView>
  </sheetViews>
  <sheetFormatPr defaultRowHeight="14.4"/>
  <sheetData>
    <row r="1" spans="2:2">
      <c r="B1">
        <v>750</v>
      </c>
    </row>
    <row r="2" spans="2:2">
      <c r="B2" s="479">
        <v>0.06</v>
      </c>
    </row>
    <row r="3" spans="2:2">
      <c r="B3">
        <v>4</v>
      </c>
    </row>
    <row r="4" spans="2:2">
      <c r="B4" s="480">
        <f>PMT(B2/12, B3, -B1)</f>
        <v>189.84959473401418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Content</vt:lpstr>
      <vt:lpstr>Q1</vt:lpstr>
      <vt:lpstr>Q2</vt:lpstr>
      <vt:lpstr>Q3</vt:lpstr>
      <vt:lpstr>Q4</vt:lpstr>
      <vt:lpstr>Q5</vt:lpstr>
      <vt:lpstr>Q6 &amp; Q7</vt:lpstr>
      <vt:lpstr>Q8</vt:lpstr>
      <vt:lpstr>Q9</vt:lpstr>
      <vt:lpstr>Q10</vt:lpstr>
      <vt:lpstr>Q11</vt:lpstr>
      <vt:lpstr>Q12</vt:lpstr>
      <vt:lpstr>Q13</vt:lpstr>
      <vt:lpstr>Q14</vt:lpstr>
      <vt:lpstr>test</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Javad</cp:lastModifiedBy>
  <dcterms:created xsi:type="dcterms:W3CDTF">2012-01-25T05:27:09Z</dcterms:created>
  <dcterms:modified xsi:type="dcterms:W3CDTF">2026-08-07T11:43:47Z</dcterms:modified>
</cp:coreProperties>
</file>